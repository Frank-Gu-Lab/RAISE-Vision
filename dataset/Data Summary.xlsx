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erin_ng_mail_utoronto_ca/Documents/Documents/2024-2025/CA Measurement/Image Processing/Thesis/Blue/Benchmarking Data/"/>
    </mc:Choice>
  </mc:AlternateContent>
  <xr:revisionPtr revIDLastSave="107" documentId="8_{731F88B0-EF1E-44FA-BDD8-31465B5E9898}" xr6:coauthVersionLast="47" xr6:coauthVersionMax="47" xr10:uidLastSave="{D99457EE-3B40-4242-975D-E4FE7AA0C304}"/>
  <bookViews>
    <workbookView xWindow="-110" yWindow="-110" windowWidth="19420" windowHeight="10300" firstSheet="1" activeTab="1" xr2:uid="{620E9757-5FB1-45FE-B966-E4116E33A201}"/>
  </bookViews>
  <sheets>
    <sheet name="SCA20" sheetId="4" r:id="rId1"/>
    <sheet name="Combined Methods" sheetId="1" r:id="rId2"/>
    <sheet name="Elliptical Fit" sheetId="2" r:id="rId3"/>
    <sheet name="Tangen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" i="4" l="1"/>
  <c r="H12" i="4"/>
  <c r="M12" i="4" s="1"/>
  <c r="E12" i="4"/>
  <c r="K11" i="4"/>
  <c r="H11" i="4"/>
  <c r="M11" i="4" s="1"/>
  <c r="E11" i="4"/>
  <c r="K10" i="4"/>
  <c r="H10" i="4"/>
  <c r="M10" i="4" s="1"/>
  <c r="E10" i="4"/>
  <c r="K9" i="4"/>
  <c r="H9" i="4"/>
  <c r="M9" i="4" s="1"/>
  <c r="E9" i="4"/>
  <c r="K8" i="4"/>
  <c r="H8" i="4"/>
  <c r="M8" i="4" s="1"/>
  <c r="E8" i="4"/>
  <c r="K7" i="4"/>
  <c r="H7" i="4"/>
  <c r="M7" i="4" s="1"/>
  <c r="E7" i="4"/>
  <c r="K6" i="4"/>
  <c r="H6" i="4"/>
  <c r="M6" i="4" s="1"/>
  <c r="E6" i="4"/>
  <c r="M5" i="4"/>
  <c r="K5" i="4"/>
  <c r="H5" i="4"/>
  <c r="L5" i="4" s="1"/>
  <c r="E5" i="4"/>
  <c r="M4" i="4"/>
  <c r="L4" i="4"/>
  <c r="K4" i="4"/>
  <c r="H4" i="4"/>
  <c r="E4" i="4"/>
  <c r="M3" i="4"/>
  <c r="K3" i="4"/>
  <c r="L3" i="4" s="1"/>
  <c r="H3" i="4"/>
  <c r="E3" i="4"/>
  <c r="K25" i="3"/>
  <c r="E25" i="3"/>
  <c r="H25" i="3"/>
  <c r="K24" i="3"/>
  <c r="E24" i="3"/>
  <c r="H24" i="3"/>
  <c r="K23" i="3"/>
  <c r="E23" i="3"/>
  <c r="H23" i="3"/>
  <c r="K22" i="3"/>
  <c r="E22" i="3"/>
  <c r="H22" i="3"/>
  <c r="M22" i="3" s="1"/>
  <c r="K21" i="3"/>
  <c r="E21" i="3"/>
  <c r="H21" i="3"/>
  <c r="K20" i="3"/>
  <c r="E20" i="3"/>
  <c r="H20" i="3"/>
  <c r="K19" i="3"/>
  <c r="E19" i="3"/>
  <c r="H19" i="3"/>
  <c r="K18" i="3"/>
  <c r="E18" i="3"/>
  <c r="H18" i="3"/>
  <c r="M18" i="3" s="1"/>
  <c r="K17" i="3"/>
  <c r="E17" i="3"/>
  <c r="H17" i="3"/>
  <c r="K16" i="3"/>
  <c r="E16" i="3"/>
  <c r="H16" i="3"/>
  <c r="E3" i="3"/>
  <c r="H3" i="3"/>
  <c r="K3" i="3"/>
  <c r="E4" i="3"/>
  <c r="H4" i="3"/>
  <c r="K4" i="3"/>
  <c r="E5" i="3"/>
  <c r="H5" i="3"/>
  <c r="K5" i="3"/>
  <c r="E6" i="3"/>
  <c r="M6" i="3" s="1"/>
  <c r="H6" i="3"/>
  <c r="K6" i="3"/>
  <c r="E7" i="3"/>
  <c r="H7" i="3"/>
  <c r="K7" i="3"/>
  <c r="E8" i="3"/>
  <c r="H8" i="3"/>
  <c r="K8" i="3"/>
  <c r="E9" i="3"/>
  <c r="H9" i="3"/>
  <c r="K9" i="3"/>
  <c r="E10" i="3"/>
  <c r="H10" i="3"/>
  <c r="K10" i="3"/>
  <c r="E11" i="3"/>
  <c r="H11" i="3"/>
  <c r="K11" i="3"/>
  <c r="E12" i="3"/>
  <c r="H12" i="3"/>
  <c r="K12" i="3"/>
  <c r="K25" i="2"/>
  <c r="E25" i="2"/>
  <c r="H25" i="2"/>
  <c r="K24" i="2"/>
  <c r="E24" i="2"/>
  <c r="H24" i="2"/>
  <c r="K23" i="2"/>
  <c r="E23" i="2"/>
  <c r="H23" i="2"/>
  <c r="K22" i="2"/>
  <c r="E22" i="2"/>
  <c r="H22" i="2"/>
  <c r="K21" i="2"/>
  <c r="E21" i="2"/>
  <c r="H21" i="2"/>
  <c r="K20" i="2"/>
  <c r="E20" i="2"/>
  <c r="H20" i="2"/>
  <c r="L20" i="2" s="1"/>
  <c r="K19" i="2"/>
  <c r="E19" i="2"/>
  <c r="H19" i="2"/>
  <c r="K18" i="2"/>
  <c r="E18" i="2"/>
  <c r="H18" i="2"/>
  <c r="K17" i="2"/>
  <c r="E17" i="2"/>
  <c r="H17" i="2"/>
  <c r="K16" i="2"/>
  <c r="E16" i="2"/>
  <c r="H16" i="2"/>
  <c r="L16" i="2" s="1"/>
  <c r="K12" i="2"/>
  <c r="H12" i="2"/>
  <c r="E12" i="2"/>
  <c r="K11" i="2"/>
  <c r="H11" i="2"/>
  <c r="E11" i="2"/>
  <c r="K10" i="2"/>
  <c r="H10" i="2"/>
  <c r="E10" i="2"/>
  <c r="K9" i="2"/>
  <c r="H9" i="2"/>
  <c r="E9" i="2"/>
  <c r="K8" i="2"/>
  <c r="H8" i="2"/>
  <c r="E8" i="2"/>
  <c r="K7" i="2"/>
  <c r="H7" i="2"/>
  <c r="E7" i="2"/>
  <c r="K6" i="2"/>
  <c r="H6" i="2"/>
  <c r="E6" i="2"/>
  <c r="K5" i="2"/>
  <c r="H5" i="2"/>
  <c r="E5" i="2"/>
  <c r="L5" i="2" s="1"/>
  <c r="K4" i="2"/>
  <c r="H4" i="2"/>
  <c r="E4" i="2"/>
  <c r="L4" i="2" s="1"/>
  <c r="K3" i="2"/>
  <c r="H3" i="2"/>
  <c r="E3" i="2"/>
  <c r="K26" i="1"/>
  <c r="E26" i="1"/>
  <c r="H26" i="1"/>
  <c r="K25" i="1"/>
  <c r="E25" i="1"/>
  <c r="H25" i="1"/>
  <c r="K24" i="1"/>
  <c r="E24" i="1"/>
  <c r="H24" i="1"/>
  <c r="K23" i="1"/>
  <c r="E23" i="1"/>
  <c r="H23" i="1"/>
  <c r="K22" i="1"/>
  <c r="E22" i="1"/>
  <c r="H22" i="1"/>
  <c r="M22" i="1" s="1"/>
  <c r="K21" i="1"/>
  <c r="E21" i="1"/>
  <c r="H21" i="1"/>
  <c r="K20" i="1"/>
  <c r="E20" i="1"/>
  <c r="H20" i="1"/>
  <c r="K19" i="1"/>
  <c r="E19" i="1"/>
  <c r="H19" i="1"/>
  <c r="K18" i="1"/>
  <c r="E18" i="1"/>
  <c r="H18" i="1"/>
  <c r="K17" i="1"/>
  <c r="E17" i="1"/>
  <c r="H17" i="1"/>
  <c r="K12" i="1"/>
  <c r="H12" i="1"/>
  <c r="E12" i="1"/>
  <c r="K11" i="1"/>
  <c r="H11" i="1"/>
  <c r="E11" i="1"/>
  <c r="K10" i="1"/>
  <c r="H10" i="1"/>
  <c r="E10" i="1"/>
  <c r="M10" i="1" s="1"/>
  <c r="K9" i="1"/>
  <c r="H9" i="1"/>
  <c r="E9" i="1"/>
  <c r="K8" i="1"/>
  <c r="H8" i="1"/>
  <c r="E8" i="1"/>
  <c r="K7" i="1"/>
  <c r="H7" i="1"/>
  <c r="E7" i="1"/>
  <c r="K6" i="1"/>
  <c r="H6" i="1"/>
  <c r="E6" i="1"/>
  <c r="M6" i="1" s="1"/>
  <c r="K5" i="1"/>
  <c r="H5" i="1"/>
  <c r="E5" i="1"/>
  <c r="K4" i="1"/>
  <c r="H4" i="1"/>
  <c r="E4" i="1"/>
  <c r="K3" i="1"/>
  <c r="H3" i="1"/>
  <c r="E3" i="1"/>
  <c r="M19" i="3" l="1"/>
  <c r="M16" i="3"/>
  <c r="M23" i="3"/>
  <c r="M24" i="3"/>
  <c r="M17" i="3"/>
  <c r="M17" i="2"/>
  <c r="L19" i="2"/>
  <c r="M21" i="2"/>
  <c r="M25" i="2"/>
  <c r="M7" i="2"/>
  <c r="M12" i="2"/>
  <c r="M6" i="2"/>
  <c r="L10" i="2"/>
  <c r="M11" i="3"/>
  <c r="L12" i="3"/>
  <c r="M8" i="3"/>
  <c r="L10" i="4"/>
  <c r="L8" i="4"/>
  <c r="L6" i="4"/>
  <c r="L11" i="4"/>
  <c r="L9" i="4"/>
  <c r="L7" i="4"/>
  <c r="L12" i="4"/>
  <c r="M21" i="1"/>
  <c r="M3" i="1"/>
  <c r="M24" i="2"/>
  <c r="L23" i="2"/>
  <c r="M20" i="2"/>
  <c r="M11" i="2"/>
  <c r="M22" i="2"/>
  <c r="L25" i="2"/>
  <c r="L18" i="2"/>
  <c r="L7" i="3"/>
  <c r="L3" i="3"/>
  <c r="L10" i="3"/>
  <c r="M20" i="3"/>
  <c r="L23" i="3"/>
  <c r="L9" i="3"/>
  <c r="M21" i="3"/>
  <c r="L8" i="3"/>
  <c r="L18" i="3"/>
  <c r="M25" i="3"/>
  <c r="M17" i="1"/>
  <c r="M26" i="1"/>
  <c r="M4" i="1"/>
  <c r="M20" i="1"/>
  <c r="M24" i="1"/>
  <c r="L11" i="1"/>
  <c r="L19" i="1"/>
  <c r="L4" i="1"/>
  <c r="M9" i="1"/>
  <c r="M5" i="1"/>
  <c r="L21" i="3"/>
  <c r="L5" i="3"/>
  <c r="L11" i="3"/>
  <c r="L19" i="3"/>
  <c r="L4" i="3"/>
  <c r="L24" i="3"/>
  <c r="L17" i="3"/>
  <c r="L16" i="3"/>
  <c r="L22" i="3"/>
  <c r="M9" i="3"/>
  <c r="M7" i="3"/>
  <c r="L6" i="3"/>
  <c r="L20" i="3"/>
  <c r="L25" i="3"/>
  <c r="M4" i="3"/>
  <c r="M3" i="3"/>
  <c r="M10" i="3"/>
  <c r="M5" i="3"/>
  <c r="M12" i="3"/>
  <c r="M23" i="2"/>
  <c r="M3" i="2"/>
  <c r="M10" i="2"/>
  <c r="M16" i="2"/>
  <c r="L21" i="2"/>
  <c r="M18" i="2"/>
  <c r="M4" i="2"/>
  <c r="M8" i="2"/>
  <c r="M19" i="2"/>
  <c r="L24" i="2"/>
  <c r="L17" i="2"/>
  <c r="L22" i="2"/>
  <c r="M5" i="2"/>
  <c r="M9" i="2"/>
  <c r="L12" i="2"/>
  <c r="M11" i="1"/>
  <c r="M23" i="1"/>
  <c r="M12" i="1"/>
  <c r="L20" i="1"/>
  <c r="L9" i="1"/>
  <c r="L3" i="1"/>
  <c r="M7" i="1"/>
  <c r="L21" i="1"/>
  <c r="L10" i="1"/>
  <c r="M25" i="1"/>
  <c r="M18" i="1"/>
  <c r="M8" i="1"/>
  <c r="L5" i="1"/>
  <c r="L3" i="2"/>
  <c r="L8" i="2"/>
  <c r="L6" i="2"/>
  <c r="L11" i="2"/>
  <c r="L9" i="2"/>
  <c r="L7" i="2"/>
  <c r="L8" i="1"/>
  <c r="M19" i="1"/>
  <c r="L24" i="1"/>
  <c r="L17" i="1"/>
  <c r="L6" i="1"/>
  <c r="L22" i="1"/>
  <c r="L25" i="1"/>
  <c r="L18" i="1"/>
  <c r="L7" i="1"/>
  <c r="L23" i="1"/>
  <c r="L12" i="1"/>
  <c r="L26" i="1"/>
</calcChain>
</file>

<file path=xl/sharedStrings.xml><?xml version="1.0" encoding="utf-8"?>
<sst xmlns="http://schemas.openxmlformats.org/spreadsheetml/2006/main" count="112" uniqueCount="10">
  <si>
    <t>Run 1</t>
  </si>
  <si>
    <t>Run 2</t>
  </si>
  <si>
    <t>Run 3</t>
  </si>
  <si>
    <t>Cycle Number</t>
  </si>
  <si>
    <t>Left CA</t>
  </si>
  <si>
    <t>Right CA</t>
  </si>
  <si>
    <t>Average</t>
  </si>
  <si>
    <t>Std Dev</t>
  </si>
  <si>
    <t>20260624-Senofilcon A-Manual</t>
  </si>
  <si>
    <t>20260623-Senofilcon A-RAISE-Vision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</si>
</sst>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 applyAlignment="1">
      <alignment horizontal="center" vertical="center" wrapText="1"/>
    </xf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3" xfId="0" applyNumberFormat="1" applyBorder="1"/>
    <xf numFmtId="164" fontId="1" fillId="0" borderId="8" xfId="0" applyNumberFormat="1" applyFont="1" applyBorder="1"/>
    <xf numFmtId="164" fontId="1" fillId="0" borderId="0" xfId="0" applyNumberFormat="1" applyFont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52FD-DE4E-44C6-8512-CC25217B4B04}">
  <dimension ref="A1:M12"/>
  <sheetViews>
    <sheetView workbookViewId="0">
      <selection sqref="A1:XFD1048576"/>
    </sheetView>
  </sheetViews>
  <sheetFormatPr defaultColWidth="8.7109375" defaultRowHeight="14.45"/>
  <cols>
    <col min="1" max="1" width="20.85546875" customWidth="1"/>
  </cols>
  <sheetData>
    <row r="1" spans="1:13">
      <c r="A1" s="1"/>
      <c r="B1" s="2"/>
      <c r="C1" s="24" t="s">
        <v>0</v>
      </c>
      <c r="D1" s="25"/>
      <c r="E1" s="26"/>
      <c r="F1" s="24" t="s">
        <v>1</v>
      </c>
      <c r="G1" s="25"/>
      <c r="H1" s="26"/>
      <c r="I1" s="24" t="s">
        <v>2</v>
      </c>
      <c r="J1" s="25"/>
      <c r="K1" s="26"/>
    </row>
    <row r="2" spans="1:13">
      <c r="A2" s="3"/>
      <c r="B2" s="4" t="s">
        <v>3</v>
      </c>
      <c r="C2" s="3" t="s">
        <v>4</v>
      </c>
      <c r="D2" s="5" t="s">
        <v>5</v>
      </c>
      <c r="E2" s="5" t="s">
        <v>6</v>
      </c>
      <c r="F2" s="3" t="s">
        <v>4</v>
      </c>
      <c r="G2" s="5" t="s">
        <v>5</v>
      </c>
      <c r="H2" s="5" t="s">
        <v>6</v>
      </c>
      <c r="I2" s="3" t="s">
        <v>4</v>
      </c>
      <c r="J2" s="5" t="s">
        <v>5</v>
      </c>
      <c r="K2" s="5" t="s">
        <v>6</v>
      </c>
      <c r="L2" t="s">
        <v>6</v>
      </c>
      <c r="M2" t="s">
        <v>7</v>
      </c>
    </row>
    <row r="3" spans="1:13" ht="14.45" customHeight="1">
      <c r="A3" s="18" t="s">
        <v>8</v>
      </c>
      <c r="B3" s="2">
        <v>1</v>
      </c>
      <c r="C3" s="8">
        <v>52.5</v>
      </c>
      <c r="D3" s="9">
        <v>51.8</v>
      </c>
      <c r="E3" s="12">
        <f>AVERAGE(C3:D3)</f>
        <v>52.15</v>
      </c>
      <c r="F3" s="8">
        <v>78.599999999999994</v>
      </c>
      <c r="G3" s="9">
        <v>79.599999999999994</v>
      </c>
      <c r="H3" s="12">
        <f>AVERAGE(F3:G3)</f>
        <v>79.099999999999994</v>
      </c>
      <c r="I3" s="8">
        <v>70.599999999999994</v>
      </c>
      <c r="J3" s="9">
        <v>72.2</v>
      </c>
      <c r="K3" s="12">
        <f>AVERAGE(I3:J3)</f>
        <v>71.400000000000006</v>
      </c>
      <c r="L3" s="7">
        <f>AVERAGE(H3,E3,K3)</f>
        <v>67.55</v>
      </c>
      <c r="M3" s="7">
        <f>_xlfn.STDEV.P(H3,E3,K3)</f>
        <v>11.334093111787398</v>
      </c>
    </row>
    <row r="4" spans="1:13">
      <c r="A4" s="19"/>
      <c r="B4">
        <v>2</v>
      </c>
      <c r="C4" s="11">
        <v>84.5</v>
      </c>
      <c r="D4" s="7">
        <v>84.5</v>
      </c>
      <c r="E4" s="10">
        <f>AVERAGE(C4:D4)</f>
        <v>84.5</v>
      </c>
      <c r="F4" s="11">
        <v>77.099999999999994</v>
      </c>
      <c r="G4" s="7">
        <v>78</v>
      </c>
      <c r="H4" s="10">
        <f>AVERAGE(F4:G4)</f>
        <v>77.55</v>
      </c>
      <c r="I4" s="11">
        <v>92.8</v>
      </c>
      <c r="J4" s="7">
        <v>92.8</v>
      </c>
      <c r="K4" s="10">
        <f>AVERAGE(I4:J4)</f>
        <v>92.8</v>
      </c>
      <c r="L4" s="7">
        <f>AVERAGE(H4,E4,K4)</f>
        <v>84.95</v>
      </c>
      <c r="M4" s="7">
        <f>_xlfn.STDEV.P(H4,E4,K4)</f>
        <v>6.2339126290530142</v>
      </c>
    </row>
    <row r="5" spans="1:13">
      <c r="A5" s="19"/>
      <c r="B5">
        <v>3</v>
      </c>
      <c r="C5" s="13">
        <v>60.3</v>
      </c>
      <c r="D5" s="14">
        <v>58.5</v>
      </c>
      <c r="E5" s="10">
        <f>AVERAGE(C5:D5)</f>
        <v>59.4</v>
      </c>
      <c r="F5" s="13">
        <v>88.9</v>
      </c>
      <c r="G5" s="14">
        <v>90.1</v>
      </c>
      <c r="H5" s="10">
        <f>AVERAGE(F5:G5)</f>
        <v>89.5</v>
      </c>
      <c r="I5" s="13">
        <v>86.1</v>
      </c>
      <c r="J5" s="14">
        <v>88.3</v>
      </c>
      <c r="K5" s="10">
        <f>AVERAGE(I5:J5)</f>
        <v>87.199999999999989</v>
      </c>
      <c r="L5" s="7">
        <f>AVERAGE(H5,E5,K5)</f>
        <v>78.7</v>
      </c>
      <c r="M5" s="7">
        <f>_xlfn.STDEV.P(H5,E5,K5)</f>
        <v>13.679424939180221</v>
      </c>
    </row>
    <row r="6" spans="1:13">
      <c r="A6" s="19"/>
      <c r="B6">
        <v>4</v>
      </c>
      <c r="C6" s="13">
        <v>81.900000000000006</v>
      </c>
      <c r="D6" s="14">
        <v>78.3</v>
      </c>
      <c r="E6" s="10">
        <f>AVERAGE(C6:D6)</f>
        <v>80.099999999999994</v>
      </c>
      <c r="F6" s="13">
        <v>84.5</v>
      </c>
      <c r="G6" s="14">
        <v>86.3</v>
      </c>
      <c r="H6" s="10">
        <f>AVERAGE(F6:G6)</f>
        <v>85.4</v>
      </c>
      <c r="I6" s="13">
        <v>81.900000000000006</v>
      </c>
      <c r="J6" s="14">
        <v>80.7</v>
      </c>
      <c r="K6" s="10">
        <f>AVERAGE(I6:J6)</f>
        <v>81.300000000000011</v>
      </c>
      <c r="L6" s="7">
        <f>AVERAGE(H6,E6,K6)</f>
        <v>82.266666666666666</v>
      </c>
      <c r="M6" s="7">
        <f>_xlfn.STDEV.P(H6,E6,K6)</f>
        <v>2.2691163233490039</v>
      </c>
    </row>
    <row r="7" spans="1:13">
      <c r="A7" s="19"/>
      <c r="B7">
        <v>5</v>
      </c>
      <c r="C7" s="11">
        <v>76.3</v>
      </c>
      <c r="D7" s="7">
        <v>76</v>
      </c>
      <c r="E7" s="10">
        <f>AVERAGE(C7:D7)</f>
        <v>76.150000000000006</v>
      </c>
      <c r="F7" s="11">
        <v>92.7</v>
      </c>
      <c r="G7" s="7">
        <v>92</v>
      </c>
      <c r="H7" s="10">
        <f>AVERAGE(F7:G7)</f>
        <v>92.35</v>
      </c>
      <c r="I7" s="11">
        <v>89.7</v>
      </c>
      <c r="J7" s="7">
        <v>91.7</v>
      </c>
      <c r="K7" s="10">
        <f>AVERAGE(I7:J7)</f>
        <v>90.7</v>
      </c>
      <c r="L7" s="7">
        <f>AVERAGE(H7,E7,K7)</f>
        <v>86.399999999999991</v>
      </c>
      <c r="M7" s="7">
        <f>_xlfn.STDEV.P(H7,E7,K7)</f>
        <v>7.2790796121487746</v>
      </c>
    </row>
    <row r="8" spans="1:13">
      <c r="A8" s="19"/>
      <c r="B8">
        <v>6</v>
      </c>
      <c r="C8" s="11">
        <v>88</v>
      </c>
      <c r="D8" s="7">
        <v>85.4</v>
      </c>
      <c r="E8" s="10">
        <f>AVERAGE(C8:D8)</f>
        <v>86.7</v>
      </c>
      <c r="F8" s="11">
        <v>93.3</v>
      </c>
      <c r="G8" s="7">
        <v>93.1</v>
      </c>
      <c r="H8" s="10">
        <f>AVERAGE(F8:G8)</f>
        <v>93.199999999999989</v>
      </c>
      <c r="I8" s="11">
        <v>82</v>
      </c>
      <c r="J8" s="7">
        <v>85</v>
      </c>
      <c r="K8" s="10">
        <f>AVERAGE(I8:J8)</f>
        <v>83.5</v>
      </c>
      <c r="L8" s="7">
        <f>AVERAGE(H8,E8,K8)</f>
        <v>87.8</v>
      </c>
      <c r="M8" s="7">
        <f>_xlfn.STDEV.P(H8,E8,K8)</f>
        <v>4.0356742518031137</v>
      </c>
    </row>
    <row r="9" spans="1:13">
      <c r="A9" s="19"/>
      <c r="B9">
        <v>7</v>
      </c>
      <c r="C9" s="11">
        <v>93.3</v>
      </c>
      <c r="D9" s="7">
        <v>92.9</v>
      </c>
      <c r="E9" s="10">
        <f>AVERAGE(C9:D9)</f>
        <v>93.1</v>
      </c>
      <c r="F9" s="11">
        <v>93</v>
      </c>
      <c r="G9" s="7">
        <v>94</v>
      </c>
      <c r="H9" s="10">
        <f>AVERAGE(F9:G9)</f>
        <v>93.5</v>
      </c>
      <c r="I9" s="11">
        <v>96.5</v>
      </c>
      <c r="J9" s="7">
        <v>97.5</v>
      </c>
      <c r="K9" s="10">
        <f>AVERAGE(I9:J9)</f>
        <v>97</v>
      </c>
      <c r="L9" s="7">
        <f>AVERAGE(H9,E9,K9)</f>
        <v>94.533333333333346</v>
      </c>
      <c r="M9" s="7">
        <f>_xlfn.STDEV.P(H9,E9,K9)</f>
        <v>1.7518244457961232</v>
      </c>
    </row>
    <row r="10" spans="1:13">
      <c r="A10" s="19"/>
      <c r="B10">
        <v>8</v>
      </c>
      <c r="C10" s="11">
        <v>90</v>
      </c>
      <c r="D10" s="7">
        <v>88.3</v>
      </c>
      <c r="E10" s="10">
        <f>AVERAGE(C10:D10)</f>
        <v>89.15</v>
      </c>
      <c r="F10" s="11">
        <v>69.599999999999994</v>
      </c>
      <c r="G10" s="7">
        <v>72</v>
      </c>
      <c r="H10" s="10">
        <f>AVERAGE(F10:G10)</f>
        <v>70.8</v>
      </c>
      <c r="I10" s="11">
        <v>94.8</v>
      </c>
      <c r="J10" s="7">
        <v>96.3</v>
      </c>
      <c r="K10" s="10">
        <f>AVERAGE(I10:J10)</f>
        <v>95.55</v>
      </c>
      <c r="L10" s="7">
        <f>AVERAGE(H10,E10,K10)</f>
        <v>85.166666666666671</v>
      </c>
      <c r="M10" s="7">
        <f>_xlfn.STDEV.P(H10,E10,K10)</f>
        <v>10.48938616994444</v>
      </c>
    </row>
    <row r="11" spans="1:13">
      <c r="A11" s="19"/>
      <c r="B11">
        <v>9</v>
      </c>
      <c r="C11" s="11">
        <v>76.5</v>
      </c>
      <c r="D11" s="7">
        <v>75.2</v>
      </c>
      <c r="E11" s="10">
        <f>AVERAGE(C11:D11)</f>
        <v>75.849999999999994</v>
      </c>
      <c r="F11" s="11">
        <v>95.8</v>
      </c>
      <c r="G11" s="7">
        <v>96.8</v>
      </c>
      <c r="H11" s="10">
        <f>AVERAGE(F11:G11)</f>
        <v>96.3</v>
      </c>
      <c r="I11" s="11">
        <v>89.6</v>
      </c>
      <c r="J11" s="7">
        <v>91.3</v>
      </c>
      <c r="K11" s="10">
        <f>AVERAGE(I11:J11)</f>
        <v>90.449999999999989</v>
      </c>
      <c r="L11" s="7">
        <f>AVERAGE(H11,E11,K11)</f>
        <v>87.533333333333317</v>
      </c>
      <c r="M11" s="7">
        <f>_xlfn.STDEV.P(H11,E11,K11)</f>
        <v>8.5996446955027679</v>
      </c>
    </row>
    <row r="12" spans="1:13">
      <c r="A12" s="20"/>
      <c r="B12" s="4">
        <v>10</v>
      </c>
      <c r="C12" s="15">
        <v>81.099999999999994</v>
      </c>
      <c r="D12" s="16">
        <v>83.2</v>
      </c>
      <c r="E12" s="17">
        <f>AVERAGE(C12:D12)</f>
        <v>82.15</v>
      </c>
      <c r="F12" s="15">
        <v>95.7</v>
      </c>
      <c r="G12" s="16">
        <v>97.3</v>
      </c>
      <c r="H12" s="17">
        <f>AVERAGE(F12:G12)</f>
        <v>96.5</v>
      </c>
      <c r="I12" s="15">
        <v>87</v>
      </c>
      <c r="J12" s="16">
        <v>91.1</v>
      </c>
      <c r="K12" s="17">
        <f>AVERAGE(I12:J12)</f>
        <v>89.05</v>
      </c>
      <c r="L12" s="7">
        <f>AVERAGE(H12,E12,K12)</f>
        <v>89.233333333333334</v>
      </c>
      <c r="M12" s="7">
        <f>_xlfn.STDEV.P(H12,E12,K12)</f>
        <v>5.8597971144248842</v>
      </c>
    </row>
  </sheetData>
  <mergeCells count="4">
    <mergeCell ref="A3:A12"/>
    <mergeCell ref="F1:H1"/>
    <mergeCell ref="C1:E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0D71-E4D8-47F2-A2D7-07D6A4E8BAC1}">
  <dimension ref="A1:M26"/>
  <sheetViews>
    <sheetView tabSelected="1" zoomScale="46" workbookViewId="0">
      <selection activeCell="F32" sqref="F32"/>
    </sheetView>
  </sheetViews>
  <sheetFormatPr defaultColWidth="8.7109375" defaultRowHeight="14.45"/>
  <cols>
    <col min="1" max="1" width="20.140625" customWidth="1"/>
  </cols>
  <sheetData>
    <row r="1" spans="1:13">
      <c r="A1" s="1"/>
      <c r="B1" s="2"/>
      <c r="C1" s="24" t="s">
        <v>0</v>
      </c>
      <c r="D1" s="25"/>
      <c r="E1" s="26"/>
      <c r="F1" s="24" t="s">
        <v>1</v>
      </c>
      <c r="G1" s="25"/>
      <c r="H1" s="26"/>
      <c r="I1" s="24" t="s">
        <v>2</v>
      </c>
      <c r="J1" s="25"/>
      <c r="K1" s="26"/>
    </row>
    <row r="2" spans="1:13">
      <c r="A2" s="3"/>
      <c r="B2" s="4" t="s">
        <v>3</v>
      </c>
      <c r="C2" s="3" t="s">
        <v>4</v>
      </c>
      <c r="D2" s="5" t="s">
        <v>5</v>
      </c>
      <c r="E2" s="5" t="s">
        <v>6</v>
      </c>
      <c r="F2" s="3" t="s">
        <v>4</v>
      </c>
      <c r="G2" s="5" t="s">
        <v>5</v>
      </c>
      <c r="H2" s="5" t="s">
        <v>6</v>
      </c>
      <c r="I2" s="3" t="s">
        <v>4</v>
      </c>
      <c r="J2" s="5" t="s">
        <v>5</v>
      </c>
      <c r="K2" s="5" t="s">
        <v>6</v>
      </c>
      <c r="L2" t="s">
        <v>6</v>
      </c>
      <c r="M2" t="s">
        <v>7</v>
      </c>
    </row>
    <row r="3" spans="1:13">
      <c r="A3" s="18" t="s">
        <v>9</v>
      </c>
      <c r="B3" s="2">
        <v>1</v>
      </c>
      <c r="C3" s="8">
        <v>65.27</v>
      </c>
      <c r="D3" s="9">
        <v>65.42</v>
      </c>
      <c r="E3" s="10">
        <f>AVERAGE(C3:D3)</f>
        <v>65.344999999999999</v>
      </c>
      <c r="F3" s="8">
        <v>54.99</v>
      </c>
      <c r="G3" s="9">
        <v>54.93</v>
      </c>
      <c r="H3" s="10">
        <f>AVERAGE(F3:G3)</f>
        <v>54.96</v>
      </c>
      <c r="I3" s="11">
        <v>67.25</v>
      </c>
      <c r="J3" s="7">
        <v>67.680000000000007</v>
      </c>
      <c r="K3" s="12">
        <f>AVERAGE(I3:J3)</f>
        <v>67.465000000000003</v>
      </c>
      <c r="L3" s="7">
        <f>AVERAGE(E3,H3,K3)</f>
        <v>62.59</v>
      </c>
      <c r="M3" s="7">
        <f>_xlfn.STDEV.P(E3,H3,K3)</f>
        <v>5.4642032051038028</v>
      </c>
    </row>
    <row r="4" spans="1:13">
      <c r="A4" s="19"/>
      <c r="B4">
        <v>2</v>
      </c>
      <c r="C4" s="11">
        <v>78.010000000000005</v>
      </c>
      <c r="D4" s="7">
        <v>77.94</v>
      </c>
      <c r="E4" s="10">
        <f>AVERAGE(C4:D4)</f>
        <v>77.974999999999994</v>
      </c>
      <c r="F4" s="11">
        <v>75.84</v>
      </c>
      <c r="G4" s="7">
        <v>75.959999999999994</v>
      </c>
      <c r="H4" s="10">
        <f>AVERAGE(F4:G4)</f>
        <v>75.900000000000006</v>
      </c>
      <c r="I4" s="11">
        <v>88.39</v>
      </c>
      <c r="J4" s="7">
        <v>88.14</v>
      </c>
      <c r="K4" s="10">
        <f>AVERAGE(I4:J4)</f>
        <v>88.265000000000001</v>
      </c>
      <c r="L4" s="7">
        <f>AVERAGE(E4,H4,K4)</f>
        <v>80.713333333333324</v>
      </c>
      <c r="M4" s="7">
        <f>_xlfn.STDEV.P(E4,H4,K4)</f>
        <v>5.406610665554612</v>
      </c>
    </row>
    <row r="5" spans="1:13">
      <c r="A5" s="19"/>
      <c r="B5">
        <v>3</v>
      </c>
      <c r="C5" s="13">
        <v>87.08</v>
      </c>
      <c r="D5" s="14">
        <v>87.97</v>
      </c>
      <c r="E5" s="10">
        <f>AVERAGE(C5:D5)</f>
        <v>87.525000000000006</v>
      </c>
      <c r="F5" s="13">
        <v>88.98</v>
      </c>
      <c r="G5" s="14">
        <v>88.89</v>
      </c>
      <c r="H5" s="10">
        <f>AVERAGE(F5:G5)</f>
        <v>88.935000000000002</v>
      </c>
      <c r="I5" s="13">
        <v>90.59</v>
      </c>
      <c r="J5" s="14">
        <v>90.59</v>
      </c>
      <c r="K5" s="10">
        <f>AVERAGE(I5:J5)</f>
        <v>90.59</v>
      </c>
      <c r="L5" s="7">
        <f>AVERAGE(E5,H5,K5)</f>
        <v>89.016666666666666</v>
      </c>
      <c r="M5" s="7">
        <f>_xlfn.STDEV.P(E5,H5,K5)</f>
        <v>1.252612824814151</v>
      </c>
    </row>
    <row r="6" spans="1:13">
      <c r="A6" s="19"/>
      <c r="B6">
        <v>4</v>
      </c>
      <c r="C6" s="13">
        <v>77.650000000000006</v>
      </c>
      <c r="D6" s="14">
        <v>69.16</v>
      </c>
      <c r="E6" s="10">
        <f>AVERAGE(C6:D6)</f>
        <v>73.405000000000001</v>
      </c>
      <c r="F6" s="13">
        <v>77.36</v>
      </c>
      <c r="G6" s="14">
        <v>77.12</v>
      </c>
      <c r="H6" s="10">
        <f>AVERAGE(F6:G6)</f>
        <v>77.240000000000009</v>
      </c>
      <c r="I6" s="13">
        <v>81.84</v>
      </c>
      <c r="J6" s="14">
        <v>81.92</v>
      </c>
      <c r="K6" s="10">
        <f>AVERAGE(I6:J6)</f>
        <v>81.88</v>
      </c>
      <c r="L6" s="7">
        <f>AVERAGE(E6,H6,K6)</f>
        <v>77.50833333333334</v>
      </c>
      <c r="M6" s="7">
        <f>_xlfn.STDEV.P(E6,H6,K6)</f>
        <v>3.4651030127384193</v>
      </c>
    </row>
    <row r="7" spans="1:13">
      <c r="A7" s="19"/>
      <c r="B7">
        <v>5</v>
      </c>
      <c r="C7" s="11">
        <v>93.54</v>
      </c>
      <c r="D7" s="7">
        <v>83.01</v>
      </c>
      <c r="E7" s="10">
        <f>AVERAGE(C7:D7)</f>
        <v>88.275000000000006</v>
      </c>
      <c r="F7" s="11">
        <v>87.04</v>
      </c>
      <c r="G7" s="7">
        <v>87.21</v>
      </c>
      <c r="H7" s="10">
        <f>AVERAGE(F7:G7)</f>
        <v>87.125</v>
      </c>
      <c r="I7" s="11">
        <v>82.16</v>
      </c>
      <c r="J7" s="7">
        <v>82.05</v>
      </c>
      <c r="K7" s="10">
        <f>AVERAGE(I7:J7)</f>
        <v>82.10499999999999</v>
      </c>
      <c r="L7" s="7">
        <f>AVERAGE(E7,H7,K7)</f>
        <v>85.834999999999994</v>
      </c>
      <c r="M7" s="7">
        <f>_xlfn.STDEV.P(E7,H7,K7)</f>
        <v>2.6789674627861197</v>
      </c>
    </row>
    <row r="8" spans="1:13">
      <c r="A8" s="19"/>
      <c r="B8">
        <v>6</v>
      </c>
      <c r="C8" s="11">
        <v>81.66</v>
      </c>
      <c r="D8" s="7">
        <v>82.02</v>
      </c>
      <c r="E8" s="10">
        <f>AVERAGE(C8:D8)</f>
        <v>81.84</v>
      </c>
      <c r="F8" s="11">
        <v>77.02</v>
      </c>
      <c r="G8" s="7">
        <v>76.739999999999995</v>
      </c>
      <c r="H8" s="10">
        <f>AVERAGE(F8:G8)</f>
        <v>76.88</v>
      </c>
      <c r="I8" s="11">
        <v>79.5</v>
      </c>
      <c r="J8" s="7">
        <v>78.78</v>
      </c>
      <c r="K8" s="10">
        <f>AVERAGE(I8:J8)</f>
        <v>79.14</v>
      </c>
      <c r="L8" s="7">
        <f>AVERAGE(E8,H8,K8)</f>
        <v>79.286666666666676</v>
      </c>
      <c r="M8" s="7">
        <f>_xlfn.STDEV.P(E8,H8,K8)</f>
        <v>2.0275655901159486</v>
      </c>
    </row>
    <row r="9" spans="1:13">
      <c r="A9" s="19"/>
      <c r="B9">
        <v>7</v>
      </c>
      <c r="C9" s="11">
        <v>88.28</v>
      </c>
      <c r="D9" s="7">
        <v>88.15</v>
      </c>
      <c r="E9" s="10">
        <f>AVERAGE(C9:D9)</f>
        <v>88.215000000000003</v>
      </c>
      <c r="F9" s="11">
        <v>88.28</v>
      </c>
      <c r="G9" s="7">
        <v>88.15</v>
      </c>
      <c r="H9" s="10">
        <f>AVERAGE(F9:G9)</f>
        <v>88.215000000000003</v>
      </c>
      <c r="I9" s="11">
        <v>94.82</v>
      </c>
      <c r="J9" s="7">
        <v>88.36</v>
      </c>
      <c r="K9" s="10">
        <f>AVERAGE(I9:J9)</f>
        <v>91.59</v>
      </c>
      <c r="L9" s="7">
        <f>AVERAGE(E9,H9,K9)</f>
        <v>89.339999999999989</v>
      </c>
      <c r="M9" s="7">
        <f>_xlfn.STDEV.P(E9,H9,K9)</f>
        <v>1.5909902576697319</v>
      </c>
    </row>
    <row r="10" spans="1:13">
      <c r="A10" s="19"/>
      <c r="B10">
        <v>8</v>
      </c>
      <c r="C10" s="11">
        <v>77.55</v>
      </c>
      <c r="D10" s="7">
        <v>78.33</v>
      </c>
      <c r="E10" s="10">
        <f>AVERAGE(C10:D10)</f>
        <v>77.94</v>
      </c>
      <c r="F10" s="11">
        <v>81.63</v>
      </c>
      <c r="G10" s="7">
        <v>81.680000000000007</v>
      </c>
      <c r="H10" s="10">
        <f>AVERAGE(F10:G10)</f>
        <v>81.655000000000001</v>
      </c>
      <c r="I10" s="11">
        <v>85.86</v>
      </c>
      <c r="J10" s="7">
        <v>81.569999999999993</v>
      </c>
      <c r="K10" s="10">
        <f>AVERAGE(I10:J10)</f>
        <v>83.715000000000003</v>
      </c>
      <c r="L10" s="7">
        <f>AVERAGE(E10,H10,K10)</f>
        <v>81.103333333333339</v>
      </c>
      <c r="M10" s="7">
        <f>_xlfn.STDEV.P(E10,H10,K10)</f>
        <v>2.3896873342668843</v>
      </c>
    </row>
    <row r="11" spans="1:13">
      <c r="A11" s="19"/>
      <c r="B11">
        <v>9</v>
      </c>
      <c r="C11" s="11">
        <v>85.79</v>
      </c>
      <c r="D11" s="7">
        <v>74.989999999999995</v>
      </c>
      <c r="E11" s="10">
        <f>AVERAGE(C11:D11)</f>
        <v>80.39</v>
      </c>
      <c r="F11" s="11">
        <v>82.45</v>
      </c>
      <c r="G11" s="7">
        <v>82.74</v>
      </c>
      <c r="H11" s="10">
        <f>AVERAGE(F11:G11)</f>
        <v>82.594999999999999</v>
      </c>
      <c r="I11" s="11">
        <v>83.41</v>
      </c>
      <c r="J11" s="7">
        <v>83.19</v>
      </c>
      <c r="K11" s="10">
        <f>AVERAGE(I11:J11)</f>
        <v>83.3</v>
      </c>
      <c r="L11" s="7">
        <f>AVERAGE(E11,H11,K11)</f>
        <v>82.095000000000013</v>
      </c>
      <c r="M11" s="7">
        <f>_xlfn.STDEV.P(E11,H11,K11)</f>
        <v>1.2394958652613557</v>
      </c>
    </row>
    <row r="12" spans="1:13">
      <c r="A12" s="20"/>
      <c r="B12" s="4">
        <v>10</v>
      </c>
      <c r="C12" s="15">
        <v>81.3</v>
      </c>
      <c r="D12" s="16">
        <v>80.98</v>
      </c>
      <c r="E12" s="17">
        <f>AVERAGE(C12:D12)</f>
        <v>81.14</v>
      </c>
      <c r="F12" s="15">
        <v>82.96</v>
      </c>
      <c r="G12" s="16">
        <v>82.57</v>
      </c>
      <c r="H12" s="17">
        <f>AVERAGE(F12:G12)</f>
        <v>82.764999999999986</v>
      </c>
      <c r="I12" s="15">
        <v>88.78</v>
      </c>
      <c r="J12" s="16">
        <v>83.55</v>
      </c>
      <c r="K12" s="17">
        <f>AVERAGE(I12:J12)</f>
        <v>86.164999999999992</v>
      </c>
      <c r="L12" s="7">
        <f>AVERAGE(E12,H12,K12)</f>
        <v>83.356666666666655</v>
      </c>
      <c r="M12" s="7">
        <f>_xlfn.STDEV.P(E12,H12,K12)</f>
        <v>2.0936743352828806</v>
      </c>
    </row>
    <row r="13" spans="1:13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>
      <c r="A14" s="6"/>
      <c r="C14" s="11"/>
      <c r="D14" s="7"/>
      <c r="E14" s="10"/>
      <c r="F14" s="11"/>
      <c r="G14" s="7"/>
      <c r="H14" s="10"/>
      <c r="I14" s="11"/>
      <c r="J14" s="7"/>
      <c r="K14" s="10"/>
      <c r="L14" s="7"/>
      <c r="M14" s="7"/>
    </row>
    <row r="15" spans="1:13">
      <c r="A15" s="1"/>
      <c r="B15" s="2"/>
      <c r="C15" s="21" t="s">
        <v>0</v>
      </c>
      <c r="D15" s="22"/>
      <c r="E15" s="23"/>
      <c r="F15" s="21" t="s">
        <v>1</v>
      </c>
      <c r="G15" s="22"/>
      <c r="H15" s="23"/>
      <c r="I15" s="21" t="s">
        <v>2</v>
      </c>
      <c r="J15" s="22"/>
      <c r="K15" s="23"/>
      <c r="L15" s="7"/>
      <c r="M15" s="7"/>
    </row>
    <row r="16" spans="1:13">
      <c r="A16" s="3"/>
      <c r="B16" s="4" t="s">
        <v>3</v>
      </c>
      <c r="C16" s="15" t="s">
        <v>4</v>
      </c>
      <c r="D16" s="17" t="s">
        <v>5</v>
      </c>
      <c r="E16" s="17" t="s">
        <v>6</v>
      </c>
      <c r="F16" s="15" t="s">
        <v>4</v>
      </c>
      <c r="G16" s="17" t="s">
        <v>5</v>
      </c>
      <c r="H16" s="17" t="s">
        <v>6</v>
      </c>
      <c r="I16" s="15" t="s">
        <v>4</v>
      </c>
      <c r="J16" s="17" t="s">
        <v>5</v>
      </c>
      <c r="K16" s="17" t="s">
        <v>6</v>
      </c>
      <c r="L16" s="7" t="s">
        <v>6</v>
      </c>
      <c r="M16" s="7" t="s">
        <v>7</v>
      </c>
    </row>
    <row r="17" spans="1:13">
      <c r="A17" s="18" t="s">
        <v>8</v>
      </c>
      <c r="B17" s="2">
        <v>1</v>
      </c>
      <c r="C17" s="8">
        <v>49.45</v>
      </c>
      <c r="D17" s="9">
        <v>35.549999999999997</v>
      </c>
      <c r="E17" s="12">
        <f>AVERAGE(C17:D17)</f>
        <v>42.5</v>
      </c>
      <c r="F17" s="8">
        <v>70.069999999999993</v>
      </c>
      <c r="G17" s="9">
        <v>66.09</v>
      </c>
      <c r="H17" s="12">
        <f>AVERAGE(F17:G17)</f>
        <v>68.08</v>
      </c>
      <c r="I17" s="8">
        <v>64.900000000000006</v>
      </c>
      <c r="J17" s="9">
        <v>63.8</v>
      </c>
      <c r="K17" s="12">
        <f>AVERAGE(I17:J17)</f>
        <v>64.349999999999994</v>
      </c>
      <c r="L17" s="7">
        <f>AVERAGE(H17,E17,K17)</f>
        <v>58.31</v>
      </c>
      <c r="M17" s="7">
        <f>_xlfn.STDEV.P(H17,E17,K17)</f>
        <v>11.28259130991929</v>
      </c>
    </row>
    <row r="18" spans="1:13">
      <c r="A18" s="19"/>
      <c r="B18">
        <v>2</v>
      </c>
      <c r="C18" s="11">
        <v>84.49</v>
      </c>
      <c r="D18" s="7">
        <v>84.4</v>
      </c>
      <c r="E18" s="10">
        <f t="shared" ref="E18:E26" si="0">AVERAGE(C18:D18)</f>
        <v>84.444999999999993</v>
      </c>
      <c r="F18" s="11">
        <v>77.8</v>
      </c>
      <c r="G18" s="7">
        <v>77.760000000000005</v>
      </c>
      <c r="H18" s="10">
        <f t="shared" ref="H18:H26" si="1">AVERAGE(F18:G18)</f>
        <v>77.78</v>
      </c>
      <c r="I18" s="11">
        <v>82.37</v>
      </c>
      <c r="J18" s="7">
        <v>83.53</v>
      </c>
      <c r="K18" s="10">
        <f t="shared" ref="K18:K26" si="2">AVERAGE(I18:J18)</f>
        <v>82.95</v>
      </c>
      <c r="L18" s="7">
        <f>AVERAGE(H18,E18,K18)</f>
        <v>81.725000000000009</v>
      </c>
      <c r="M18" s="7">
        <f>_xlfn.STDEV.P(H18,E18,K18)</f>
        <v>2.8555238865515822</v>
      </c>
    </row>
    <row r="19" spans="1:13">
      <c r="A19" s="19"/>
      <c r="B19">
        <v>3</v>
      </c>
      <c r="C19" s="13">
        <v>55.67</v>
      </c>
      <c r="D19" s="14">
        <v>52.91</v>
      </c>
      <c r="E19" s="10">
        <f t="shared" si="0"/>
        <v>54.29</v>
      </c>
      <c r="F19" s="13">
        <v>88.28</v>
      </c>
      <c r="G19" s="14">
        <v>88.29</v>
      </c>
      <c r="H19" s="10">
        <f t="shared" si="1"/>
        <v>88.284999999999997</v>
      </c>
      <c r="I19" s="13">
        <v>84.77</v>
      </c>
      <c r="J19" s="14">
        <v>85.01</v>
      </c>
      <c r="K19" s="10">
        <f t="shared" si="2"/>
        <v>84.89</v>
      </c>
      <c r="L19" s="7">
        <f>AVERAGE(H19,E19,K19)</f>
        <v>75.821666666666658</v>
      </c>
      <c r="M19" s="7">
        <f>_xlfn.STDEV.P(H19,E19,K19)</f>
        <v>15.288143735878799</v>
      </c>
    </row>
    <row r="20" spans="1:13">
      <c r="A20" s="19"/>
      <c r="B20">
        <v>4</v>
      </c>
      <c r="C20" s="13">
        <v>71.180000000000007</v>
      </c>
      <c r="D20" s="14">
        <v>61.13</v>
      </c>
      <c r="E20" s="10">
        <f t="shared" si="0"/>
        <v>66.155000000000001</v>
      </c>
      <c r="F20" s="13">
        <v>71.03</v>
      </c>
      <c r="G20" s="14">
        <v>76.62</v>
      </c>
      <c r="H20" s="10">
        <f t="shared" si="1"/>
        <v>73.825000000000003</v>
      </c>
      <c r="I20" s="13">
        <v>70.89</v>
      </c>
      <c r="J20" s="14">
        <v>60.69</v>
      </c>
      <c r="K20" s="10">
        <f t="shared" si="2"/>
        <v>65.789999999999992</v>
      </c>
      <c r="L20" s="7">
        <f>AVERAGE(H20,E20,K20)</f>
        <v>68.59</v>
      </c>
      <c r="M20" s="7">
        <f>_xlfn.STDEV.P(H20,E20,K20)</f>
        <v>3.7047019673202715</v>
      </c>
    </row>
    <row r="21" spans="1:13">
      <c r="A21" s="19"/>
      <c r="B21">
        <v>5</v>
      </c>
      <c r="C21" s="11">
        <v>76.52</v>
      </c>
      <c r="D21" s="7">
        <v>76.94</v>
      </c>
      <c r="E21" s="10">
        <f t="shared" si="0"/>
        <v>76.72999999999999</v>
      </c>
      <c r="F21" s="11">
        <v>81.72</v>
      </c>
      <c r="G21" s="7">
        <v>80.37</v>
      </c>
      <c r="H21" s="10">
        <f t="shared" si="1"/>
        <v>81.045000000000002</v>
      </c>
      <c r="I21" s="11">
        <v>82.89</v>
      </c>
      <c r="J21" s="7">
        <v>78.38</v>
      </c>
      <c r="K21" s="10">
        <f t="shared" si="2"/>
        <v>80.634999999999991</v>
      </c>
      <c r="L21" s="7">
        <f>AVERAGE(H21,E21,K21)</f>
        <v>79.469999999999985</v>
      </c>
      <c r="M21" s="7">
        <f>_xlfn.STDEV.P(H21,E21,K21)</f>
        <v>1.9446893496563094</v>
      </c>
    </row>
    <row r="22" spans="1:13">
      <c r="A22" s="19"/>
      <c r="B22">
        <v>6</v>
      </c>
      <c r="C22" s="11">
        <v>88.24</v>
      </c>
      <c r="D22" s="7">
        <v>87.86</v>
      </c>
      <c r="E22" s="10">
        <f t="shared" si="0"/>
        <v>88.05</v>
      </c>
      <c r="F22" s="11">
        <v>90.06</v>
      </c>
      <c r="G22" s="7">
        <v>90.09</v>
      </c>
      <c r="H22" s="10">
        <f t="shared" si="1"/>
        <v>90.075000000000003</v>
      </c>
      <c r="I22" s="11">
        <v>83.02</v>
      </c>
      <c r="J22" s="7">
        <v>84.03</v>
      </c>
      <c r="K22" s="10">
        <f t="shared" si="2"/>
        <v>83.525000000000006</v>
      </c>
      <c r="L22" s="7">
        <f>AVERAGE(H22,E22,K22)</f>
        <v>87.216666666666654</v>
      </c>
      <c r="M22" s="7">
        <f>_xlfn.STDEV.P(H22,E22,K22)</f>
        <v>2.7381816756542796</v>
      </c>
    </row>
    <row r="23" spans="1:13">
      <c r="A23" s="19"/>
      <c r="B23">
        <v>7</v>
      </c>
      <c r="C23" s="11">
        <v>82.13</v>
      </c>
      <c r="D23" s="7">
        <v>83.23</v>
      </c>
      <c r="E23" s="10">
        <f t="shared" si="0"/>
        <v>82.68</v>
      </c>
      <c r="F23" s="11">
        <v>81.5</v>
      </c>
      <c r="G23" s="7">
        <v>81.16</v>
      </c>
      <c r="H23" s="10">
        <f t="shared" si="1"/>
        <v>81.33</v>
      </c>
      <c r="I23" s="11">
        <v>88.06</v>
      </c>
      <c r="J23" s="7">
        <v>79.81</v>
      </c>
      <c r="K23" s="10">
        <f t="shared" si="2"/>
        <v>83.935000000000002</v>
      </c>
      <c r="L23" s="7">
        <f>AVERAGE(H23,E23,K23)</f>
        <v>82.648333333333326</v>
      </c>
      <c r="M23" s="7">
        <f>_xlfn.STDEV.P(H23,E23,K23)</f>
        <v>1.0637224993181065</v>
      </c>
    </row>
    <row r="24" spans="1:13">
      <c r="A24" s="19"/>
      <c r="B24">
        <v>8</v>
      </c>
      <c r="C24" s="11">
        <v>85.76</v>
      </c>
      <c r="D24" s="7">
        <v>85.42</v>
      </c>
      <c r="E24" s="10">
        <f t="shared" si="0"/>
        <v>85.59</v>
      </c>
      <c r="F24" s="11">
        <v>67.92</v>
      </c>
      <c r="G24" s="7">
        <v>47.88</v>
      </c>
      <c r="H24" s="10">
        <f t="shared" si="1"/>
        <v>57.900000000000006</v>
      </c>
      <c r="I24" s="11">
        <v>82.35</v>
      </c>
      <c r="J24" s="7">
        <v>80.08</v>
      </c>
      <c r="K24" s="10">
        <f t="shared" si="2"/>
        <v>81.215000000000003</v>
      </c>
      <c r="L24" s="7">
        <f>AVERAGE(H24,E24,K24)</f>
        <v>74.901666666666671</v>
      </c>
      <c r="M24" s="7">
        <f>_xlfn.STDEV.P(H24,E24,K24)</f>
        <v>12.153947461170329</v>
      </c>
    </row>
    <row r="25" spans="1:13">
      <c r="A25" s="19"/>
      <c r="B25">
        <v>9</v>
      </c>
      <c r="C25" s="11">
        <v>73.680000000000007</v>
      </c>
      <c r="D25" s="7">
        <v>73.760000000000005</v>
      </c>
      <c r="E25" s="10">
        <f t="shared" si="0"/>
        <v>73.72</v>
      </c>
      <c r="F25" s="11">
        <v>82.11</v>
      </c>
      <c r="G25" s="7">
        <v>85.95</v>
      </c>
      <c r="H25" s="10">
        <f t="shared" si="1"/>
        <v>84.03</v>
      </c>
      <c r="I25" s="11">
        <v>82.43</v>
      </c>
      <c r="J25" s="7">
        <v>80.040000000000006</v>
      </c>
      <c r="K25" s="10">
        <f t="shared" si="2"/>
        <v>81.235000000000014</v>
      </c>
      <c r="L25" s="7">
        <f>AVERAGE(H25,E25,K25)</f>
        <v>79.661666666666676</v>
      </c>
      <c r="M25" s="7">
        <f>_xlfn.STDEV.P(H25,E25,K25)</f>
        <v>4.3535853678957048</v>
      </c>
    </row>
    <row r="26" spans="1:13">
      <c r="A26" s="20"/>
      <c r="B26" s="4">
        <v>10</v>
      </c>
      <c r="C26" s="15">
        <v>71.8</v>
      </c>
      <c r="D26" s="16">
        <v>73.61</v>
      </c>
      <c r="E26" s="17">
        <f t="shared" si="0"/>
        <v>72.704999999999998</v>
      </c>
      <c r="F26" s="15">
        <v>83.78</v>
      </c>
      <c r="G26" s="16">
        <v>85.35</v>
      </c>
      <c r="H26" s="17">
        <f t="shared" si="1"/>
        <v>84.564999999999998</v>
      </c>
      <c r="I26" s="15">
        <v>77.760000000000005</v>
      </c>
      <c r="J26" s="16">
        <v>77.17</v>
      </c>
      <c r="K26" s="17">
        <f t="shared" si="2"/>
        <v>77.465000000000003</v>
      </c>
      <c r="L26" s="7">
        <f>AVERAGE(H26,E26,K26)</f>
        <v>78.24499999999999</v>
      </c>
      <c r="M26" s="7">
        <f>_xlfn.STDEV.P(H26,E26,K26)</f>
        <v>4.8731372509571962</v>
      </c>
    </row>
  </sheetData>
  <mergeCells count="8">
    <mergeCell ref="C1:E1"/>
    <mergeCell ref="F1:H1"/>
    <mergeCell ref="I1:K1"/>
    <mergeCell ref="A3:A12"/>
    <mergeCell ref="F15:H15"/>
    <mergeCell ref="C15:E15"/>
    <mergeCell ref="I15:K15"/>
    <mergeCell ref="A17:A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B974-4640-4723-A1C9-C3A70B67E515}">
  <dimension ref="A1:M25"/>
  <sheetViews>
    <sheetView zoomScale="88" workbookViewId="0">
      <selection activeCell="C3" sqref="C3:M25"/>
    </sheetView>
  </sheetViews>
  <sheetFormatPr defaultColWidth="8.7109375" defaultRowHeight="14.45"/>
  <cols>
    <col min="1" max="1" width="18.42578125" customWidth="1"/>
  </cols>
  <sheetData>
    <row r="1" spans="1:13">
      <c r="A1" s="1"/>
      <c r="B1" s="2"/>
      <c r="C1" s="24" t="s">
        <v>0</v>
      </c>
      <c r="D1" s="25"/>
      <c r="E1" s="26"/>
      <c r="F1" s="24" t="s">
        <v>1</v>
      </c>
      <c r="G1" s="25"/>
      <c r="H1" s="26"/>
      <c r="I1" s="24" t="s">
        <v>2</v>
      </c>
      <c r="J1" s="25"/>
      <c r="K1" s="26"/>
    </row>
    <row r="2" spans="1:13">
      <c r="A2" s="3"/>
      <c r="B2" s="4" t="s">
        <v>3</v>
      </c>
      <c r="C2" s="3" t="s">
        <v>4</v>
      </c>
      <c r="D2" s="5" t="s">
        <v>5</v>
      </c>
      <c r="E2" s="5" t="s">
        <v>6</v>
      </c>
      <c r="F2" s="3" t="s">
        <v>4</v>
      </c>
      <c r="G2" s="5" t="s">
        <v>5</v>
      </c>
      <c r="H2" s="5" t="s">
        <v>6</v>
      </c>
      <c r="I2" s="3" t="s">
        <v>4</v>
      </c>
      <c r="J2" s="5" t="s">
        <v>5</v>
      </c>
      <c r="K2" s="5" t="s">
        <v>6</v>
      </c>
      <c r="L2" t="s">
        <v>6</v>
      </c>
      <c r="M2" t="s">
        <v>7</v>
      </c>
    </row>
    <row r="3" spans="1:13" ht="14.45" customHeight="1">
      <c r="A3" s="18" t="s">
        <v>9</v>
      </c>
      <c r="B3" s="2">
        <v>1</v>
      </c>
      <c r="C3" s="8">
        <v>65.27</v>
      </c>
      <c r="D3" s="9">
        <v>65.42</v>
      </c>
      <c r="E3" s="10">
        <f>AVERAGE(C3:D3)</f>
        <v>65.344999999999999</v>
      </c>
      <c r="F3" s="8">
        <v>54.99</v>
      </c>
      <c r="G3" s="9">
        <v>54.93</v>
      </c>
      <c r="H3" s="10">
        <f>AVERAGE(F3:G3)</f>
        <v>54.96</v>
      </c>
      <c r="I3" s="11">
        <v>67.25</v>
      </c>
      <c r="J3" s="7">
        <v>67.680000000000007</v>
      </c>
      <c r="K3" s="12">
        <f>AVERAGE(I3:J3)</f>
        <v>67.465000000000003</v>
      </c>
      <c r="L3" s="7">
        <f>AVERAGE(E3,H3,K3)</f>
        <v>62.59</v>
      </c>
      <c r="M3" s="7">
        <f>_xlfn.STDEV.P(E3,H3,K3)</f>
        <v>5.4642032051038028</v>
      </c>
    </row>
    <row r="4" spans="1:13">
      <c r="A4" s="19"/>
      <c r="B4">
        <v>2</v>
      </c>
      <c r="C4" s="11">
        <v>78.010000000000005</v>
      </c>
      <c r="D4" s="7">
        <v>77.94</v>
      </c>
      <c r="E4" s="10">
        <f>AVERAGE(C4:D4)</f>
        <v>77.974999999999994</v>
      </c>
      <c r="F4" s="11">
        <v>75.84</v>
      </c>
      <c r="G4" s="7">
        <v>75.959999999999994</v>
      </c>
      <c r="H4" s="10">
        <f>AVERAGE(F4:G4)</f>
        <v>75.900000000000006</v>
      </c>
      <c r="I4" s="11">
        <v>88.39</v>
      </c>
      <c r="J4" s="7">
        <v>88.14</v>
      </c>
      <c r="K4" s="10">
        <f>AVERAGE(I4:J4)</f>
        <v>88.265000000000001</v>
      </c>
      <c r="L4" s="7">
        <f>AVERAGE(E4,H4,K4)</f>
        <v>80.713333333333324</v>
      </c>
      <c r="M4" s="7">
        <f>_xlfn.STDEV.P(E4,H4,K4)</f>
        <v>5.406610665554612</v>
      </c>
    </row>
    <row r="5" spans="1:13">
      <c r="A5" s="19"/>
      <c r="B5">
        <v>3</v>
      </c>
      <c r="C5" s="13">
        <v>90.32</v>
      </c>
      <c r="D5" s="14">
        <v>90.24</v>
      </c>
      <c r="E5" s="10">
        <f>AVERAGE(C5:D5)</f>
        <v>90.28</v>
      </c>
      <c r="F5" s="13">
        <v>88.98</v>
      </c>
      <c r="G5" s="14">
        <v>88.89</v>
      </c>
      <c r="H5" s="10">
        <f>AVERAGE(F5:G5)</f>
        <v>88.935000000000002</v>
      </c>
      <c r="I5" s="13">
        <v>90.59</v>
      </c>
      <c r="J5" s="14">
        <v>90.59</v>
      </c>
      <c r="K5" s="10">
        <f>AVERAGE(I5:J5)</f>
        <v>90.59</v>
      </c>
      <c r="L5" s="7">
        <f>AVERAGE(E5,H5,K5)</f>
        <v>89.935000000000002</v>
      </c>
      <c r="M5" s="7">
        <f>_xlfn.STDEV.P(E5,H5,K5)</f>
        <v>0.71834300070834334</v>
      </c>
    </row>
    <row r="6" spans="1:13">
      <c r="A6" s="19"/>
      <c r="B6">
        <v>4</v>
      </c>
      <c r="C6" s="13">
        <v>85.78</v>
      </c>
      <c r="D6" s="14">
        <v>84.86</v>
      </c>
      <c r="E6" s="10">
        <f>AVERAGE(C6:D6)</f>
        <v>85.32</v>
      </c>
      <c r="F6" s="13">
        <v>77.36</v>
      </c>
      <c r="G6" s="14">
        <v>77.12</v>
      </c>
      <c r="H6" s="10">
        <f>AVERAGE(F6:G6)</f>
        <v>77.240000000000009</v>
      </c>
      <c r="I6" s="13">
        <v>81.84</v>
      </c>
      <c r="J6" s="14">
        <v>81.92</v>
      </c>
      <c r="K6" s="10">
        <f>AVERAGE(I6:J6)</f>
        <v>81.88</v>
      </c>
      <c r="L6" s="7">
        <f>AVERAGE(E6,H6,K6)</f>
        <v>81.48</v>
      </c>
      <c r="M6" s="7">
        <f>_xlfn.STDEV.P(E6,H6,K6)</f>
        <v>3.3107501667547532</v>
      </c>
    </row>
    <row r="7" spans="1:13">
      <c r="A7" s="19"/>
      <c r="B7">
        <v>5</v>
      </c>
      <c r="C7" s="11">
        <v>96.91</v>
      </c>
      <c r="D7" s="7">
        <v>96.79</v>
      </c>
      <c r="E7" s="10">
        <f>AVERAGE(C7:D7)</f>
        <v>96.85</v>
      </c>
      <c r="F7" s="11">
        <v>87.04</v>
      </c>
      <c r="G7" s="7">
        <v>87.21</v>
      </c>
      <c r="H7" s="10">
        <f>AVERAGE(F7:G7)</f>
        <v>87.125</v>
      </c>
      <c r="I7" s="11">
        <v>82.16</v>
      </c>
      <c r="J7" s="7">
        <v>82.05</v>
      </c>
      <c r="K7" s="10">
        <f>AVERAGE(I7:J7)</f>
        <v>82.10499999999999</v>
      </c>
      <c r="L7" s="7">
        <f>AVERAGE(E7,H7,K7)</f>
        <v>88.693333333333328</v>
      </c>
      <c r="M7" s="7">
        <f>_xlfn.STDEV.P(E7,H7,K7)</f>
        <v>6.120920863907835</v>
      </c>
    </row>
    <row r="8" spans="1:13">
      <c r="A8" s="19"/>
      <c r="B8">
        <v>6</v>
      </c>
      <c r="C8" s="11">
        <v>81.66</v>
      </c>
      <c r="D8" s="7">
        <v>82.02</v>
      </c>
      <c r="E8" s="10">
        <f>AVERAGE(C8:D8)</f>
        <v>81.84</v>
      </c>
      <c r="F8" s="11">
        <v>77.02</v>
      </c>
      <c r="G8" s="7">
        <v>76.739999999999995</v>
      </c>
      <c r="H8" s="10">
        <f>AVERAGE(F8:G8)</f>
        <v>76.88</v>
      </c>
      <c r="I8" s="11">
        <v>79.5</v>
      </c>
      <c r="J8" s="7">
        <v>78.78</v>
      </c>
      <c r="K8" s="10">
        <f>AVERAGE(I8:J8)</f>
        <v>79.14</v>
      </c>
      <c r="L8" s="7">
        <f>AVERAGE(E8,H8,K8)</f>
        <v>79.286666666666676</v>
      </c>
      <c r="M8" s="7">
        <f>_xlfn.STDEV.P(E8,H8,K8)</f>
        <v>2.0275655901159486</v>
      </c>
    </row>
    <row r="9" spans="1:13">
      <c r="A9" s="19"/>
      <c r="B9">
        <v>7</v>
      </c>
      <c r="C9" s="11">
        <v>88.28</v>
      </c>
      <c r="D9" s="7">
        <v>88.15</v>
      </c>
      <c r="E9" s="10">
        <f>AVERAGE(C9:D9)</f>
        <v>88.215000000000003</v>
      </c>
      <c r="F9" s="11">
        <v>88.28</v>
      </c>
      <c r="G9" s="7">
        <v>88.15</v>
      </c>
      <c r="H9" s="10">
        <f>AVERAGE(F9:G9)</f>
        <v>88.215000000000003</v>
      </c>
      <c r="I9" s="11">
        <v>98.73</v>
      </c>
      <c r="J9" s="7">
        <v>98.74</v>
      </c>
      <c r="K9" s="10">
        <f>AVERAGE(I9:J9)</f>
        <v>98.734999999999999</v>
      </c>
      <c r="L9" s="7">
        <f>AVERAGE(E9,H9,K9)</f>
        <v>91.721666666666678</v>
      </c>
      <c r="M9" s="7">
        <f>_xlfn.STDEV.P(E9,H9,K9)</f>
        <v>4.9591755587216513</v>
      </c>
    </row>
    <row r="10" spans="1:13">
      <c r="A10" s="19"/>
      <c r="B10">
        <v>8</v>
      </c>
      <c r="C10" s="11">
        <v>77.55</v>
      </c>
      <c r="D10" s="7">
        <v>77.7</v>
      </c>
      <c r="E10" s="10">
        <f>AVERAGE(C10:D10)</f>
        <v>77.625</v>
      </c>
      <c r="F10" s="11">
        <v>81.63</v>
      </c>
      <c r="G10" s="7">
        <v>81.680000000000007</v>
      </c>
      <c r="H10" s="10">
        <f>AVERAGE(F10:G10)</f>
        <v>81.655000000000001</v>
      </c>
      <c r="I10" s="11">
        <v>89.46</v>
      </c>
      <c r="J10" s="7">
        <v>89.3</v>
      </c>
      <c r="K10" s="10">
        <f>AVERAGE(I10:J10)</f>
        <v>89.38</v>
      </c>
      <c r="L10" s="7">
        <f>AVERAGE(E10,H10,K10)</f>
        <v>82.88666666666667</v>
      </c>
      <c r="M10" s="7">
        <f>_xlfn.STDEV.P(E10,H10,K10)</f>
        <v>4.8773461590864686</v>
      </c>
    </row>
    <row r="11" spans="1:13">
      <c r="A11" s="19"/>
      <c r="B11">
        <v>9</v>
      </c>
      <c r="C11" s="11">
        <v>87.12</v>
      </c>
      <c r="D11" s="7">
        <v>86.91</v>
      </c>
      <c r="E11" s="10">
        <f>AVERAGE(C11:D11)</f>
        <v>87.015000000000001</v>
      </c>
      <c r="F11" s="11">
        <v>82.45</v>
      </c>
      <c r="G11" s="7">
        <v>82.74</v>
      </c>
      <c r="H11" s="10">
        <f>AVERAGE(F11:G11)</f>
        <v>82.594999999999999</v>
      </c>
      <c r="I11" s="11">
        <v>83.41</v>
      </c>
      <c r="J11" s="7">
        <v>83.19</v>
      </c>
      <c r="K11" s="10">
        <f>AVERAGE(I11:J11)</f>
        <v>83.3</v>
      </c>
      <c r="L11" s="7">
        <f>AVERAGE(E11,H11,K11)</f>
        <v>84.303333333333342</v>
      </c>
      <c r="M11" s="7">
        <f>_xlfn.STDEV.P(E11,H11,K11)</f>
        <v>1.9389186562503233</v>
      </c>
    </row>
    <row r="12" spans="1:13">
      <c r="A12" s="20"/>
      <c r="B12" s="4">
        <v>10</v>
      </c>
      <c r="C12" s="15">
        <v>81.3</v>
      </c>
      <c r="D12" s="16">
        <v>80.98</v>
      </c>
      <c r="E12" s="17">
        <f>AVERAGE(C12:D12)</f>
        <v>81.14</v>
      </c>
      <c r="F12" s="15">
        <v>82.96</v>
      </c>
      <c r="G12" s="16">
        <v>82.57</v>
      </c>
      <c r="H12" s="17">
        <f>AVERAGE(F12:G12)</f>
        <v>82.764999999999986</v>
      </c>
      <c r="I12" s="15">
        <v>94.12</v>
      </c>
      <c r="J12" s="16">
        <v>93.81</v>
      </c>
      <c r="K12" s="17">
        <f>AVERAGE(I12:J12)</f>
        <v>93.965000000000003</v>
      </c>
      <c r="L12" s="7">
        <f>AVERAGE(E12,H12,K12)</f>
        <v>85.956666666666663</v>
      </c>
      <c r="M12" s="7">
        <f>_xlfn.STDEV.P(E12,H12,K12)</f>
        <v>5.7014739809592747</v>
      </c>
    </row>
    <row r="13" spans="1:13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>
      <c r="A14" s="1"/>
      <c r="B14" s="2"/>
      <c r="C14" s="21" t="s">
        <v>0</v>
      </c>
      <c r="D14" s="22"/>
      <c r="E14" s="23"/>
      <c r="F14" s="21" t="s">
        <v>1</v>
      </c>
      <c r="G14" s="22"/>
      <c r="H14" s="23"/>
      <c r="I14" s="21" t="s">
        <v>2</v>
      </c>
      <c r="J14" s="22"/>
      <c r="K14" s="23"/>
      <c r="L14" s="7"/>
      <c r="M14" s="7"/>
    </row>
    <row r="15" spans="1:13">
      <c r="A15" s="3"/>
      <c r="B15" s="4" t="s">
        <v>3</v>
      </c>
      <c r="C15" s="15" t="s">
        <v>4</v>
      </c>
      <c r="D15" s="17" t="s">
        <v>5</v>
      </c>
      <c r="E15" s="17" t="s">
        <v>6</v>
      </c>
      <c r="F15" s="15" t="s">
        <v>4</v>
      </c>
      <c r="G15" s="17" t="s">
        <v>5</v>
      </c>
      <c r="H15" s="17" t="s">
        <v>6</v>
      </c>
      <c r="I15" s="15" t="s">
        <v>4</v>
      </c>
      <c r="J15" s="17" t="s">
        <v>5</v>
      </c>
      <c r="K15" s="17" t="s">
        <v>6</v>
      </c>
      <c r="L15" s="7" t="s">
        <v>6</v>
      </c>
      <c r="M15" s="7" t="s">
        <v>7</v>
      </c>
    </row>
    <row r="16" spans="1:13" ht="14.45" customHeight="1">
      <c r="A16" s="18" t="s">
        <v>8</v>
      </c>
      <c r="B16" s="2">
        <v>1</v>
      </c>
      <c r="C16" s="8">
        <v>58.59</v>
      </c>
      <c r="D16" s="9">
        <v>68.72</v>
      </c>
      <c r="E16" s="12">
        <f>AVERAGE(C16:D16)</f>
        <v>63.655000000000001</v>
      </c>
      <c r="F16" s="8">
        <v>78.239999999999995</v>
      </c>
      <c r="G16" s="9">
        <v>79.650000000000006</v>
      </c>
      <c r="H16" s="12">
        <f>AVERAGE(F16:G16)</f>
        <v>78.944999999999993</v>
      </c>
      <c r="I16" s="8">
        <v>67.28</v>
      </c>
      <c r="J16" s="9">
        <v>65.61</v>
      </c>
      <c r="K16" s="12">
        <f>AVERAGE(I16:J16)</f>
        <v>66.444999999999993</v>
      </c>
      <c r="L16" s="7">
        <f>AVERAGE(H16,E16,K16)</f>
        <v>69.681666666666658</v>
      </c>
      <c r="M16" s="7">
        <f>_xlfn.STDEV.P(H16,E16,K16)</f>
        <v>6.6484601391767537</v>
      </c>
    </row>
    <row r="17" spans="1:13">
      <c r="A17" s="19"/>
      <c r="B17">
        <v>2</v>
      </c>
      <c r="C17" s="11">
        <v>84.49</v>
      </c>
      <c r="D17" s="7">
        <v>84.4</v>
      </c>
      <c r="E17" s="10">
        <f>AVERAGE(C17:D17)</f>
        <v>84.444999999999993</v>
      </c>
      <c r="F17" s="11">
        <v>77.8</v>
      </c>
      <c r="G17" s="7">
        <v>77.760000000000005</v>
      </c>
      <c r="H17" s="10">
        <f>AVERAGE(F17:G17)</f>
        <v>77.78</v>
      </c>
      <c r="I17" s="7">
        <v>92.68</v>
      </c>
      <c r="J17" s="7">
        <v>92.83</v>
      </c>
      <c r="K17" s="10">
        <f>AVERAGE(I25:J25)</f>
        <v>93.515000000000001</v>
      </c>
      <c r="L17" s="7">
        <f>AVERAGE(H17,E17,K17)</f>
        <v>85.24666666666667</v>
      </c>
      <c r="M17" s="7">
        <f>_xlfn.STDEV.P(H17,E17,K17)</f>
        <v>6.4487496634791324</v>
      </c>
    </row>
    <row r="18" spans="1:13">
      <c r="A18" s="19"/>
      <c r="B18">
        <v>3</v>
      </c>
      <c r="C18" s="13">
        <v>65.94</v>
      </c>
      <c r="D18" s="14">
        <v>70.73</v>
      </c>
      <c r="E18" s="10">
        <f>AVERAGE(C18:D18)</f>
        <v>68.335000000000008</v>
      </c>
      <c r="F18" s="13">
        <v>88.28</v>
      </c>
      <c r="G18" s="14">
        <v>88.29</v>
      </c>
      <c r="H18" s="10">
        <f>AVERAGE(F18:G18)</f>
        <v>88.284999999999997</v>
      </c>
      <c r="I18" s="13">
        <v>84.77</v>
      </c>
      <c r="J18" s="14">
        <v>85.01</v>
      </c>
      <c r="K18" s="10">
        <f>AVERAGE(I18:J18)</f>
        <v>84.89</v>
      </c>
      <c r="L18" s="7">
        <f>AVERAGE(H18,E18,K18)</f>
        <v>80.50333333333333</v>
      </c>
      <c r="M18" s="7">
        <f>_xlfn.STDEV.P(H18,E18,K18)</f>
        <v>8.7152264584588757</v>
      </c>
    </row>
    <row r="19" spans="1:13">
      <c r="A19" s="19"/>
      <c r="B19">
        <v>4</v>
      </c>
      <c r="C19" s="13">
        <v>68.95</v>
      </c>
      <c r="D19" s="14">
        <v>65.14</v>
      </c>
      <c r="E19" s="10">
        <f>AVERAGE(C19:D19)</f>
        <v>67.045000000000002</v>
      </c>
      <c r="F19" s="13">
        <v>85.58</v>
      </c>
      <c r="G19" s="14">
        <v>85.71</v>
      </c>
      <c r="H19" s="10">
        <f>AVERAGE(F19:G19)</f>
        <v>85.644999999999996</v>
      </c>
      <c r="I19" s="13">
        <v>76.47</v>
      </c>
      <c r="J19" s="14">
        <v>75.790000000000006</v>
      </c>
      <c r="K19" s="10">
        <f>AVERAGE(I19:J19)</f>
        <v>76.13</v>
      </c>
      <c r="L19" s="7">
        <f>AVERAGE(H19,E19,K19)</f>
        <v>76.273333333333326</v>
      </c>
      <c r="M19" s="7">
        <f>_xlfn.STDEV.P(H19,E19,K19)</f>
        <v>7.5940945623703024</v>
      </c>
    </row>
    <row r="20" spans="1:13">
      <c r="A20" s="19"/>
      <c r="B20">
        <v>5</v>
      </c>
      <c r="C20" s="11">
        <v>76.52</v>
      </c>
      <c r="D20" s="7">
        <v>76.94</v>
      </c>
      <c r="E20" s="10">
        <f>AVERAGE(C20:D20)</f>
        <v>76.72999999999999</v>
      </c>
      <c r="F20" s="11">
        <v>91.72</v>
      </c>
      <c r="G20" s="7">
        <v>91.87</v>
      </c>
      <c r="H20" s="10">
        <f>AVERAGE(F20:G20)</f>
        <v>91.795000000000002</v>
      </c>
      <c r="I20" s="11">
        <v>91.19</v>
      </c>
      <c r="J20" s="7">
        <v>91.99</v>
      </c>
      <c r="K20" s="10">
        <f>AVERAGE(I20:J20)</f>
        <v>91.59</v>
      </c>
      <c r="L20" s="7">
        <f>AVERAGE(H20,E20,K20)</f>
        <v>86.704999999999998</v>
      </c>
      <c r="M20" s="7">
        <f>_xlfn.STDEV.P(H20,E20,K20)</f>
        <v>7.0538866355128471</v>
      </c>
    </row>
    <row r="21" spans="1:13">
      <c r="A21" s="19"/>
      <c r="B21">
        <v>6</v>
      </c>
      <c r="C21" s="11">
        <v>88.24</v>
      </c>
      <c r="D21" s="7">
        <v>87.86</v>
      </c>
      <c r="E21" s="10">
        <f>AVERAGE(C21:D21)</f>
        <v>88.05</v>
      </c>
      <c r="F21" s="11">
        <v>90.06</v>
      </c>
      <c r="G21" s="7">
        <v>90.09</v>
      </c>
      <c r="H21" s="10">
        <f>AVERAGE(F21:G21)</f>
        <v>90.075000000000003</v>
      </c>
      <c r="I21" s="11">
        <v>83.02</v>
      </c>
      <c r="J21" s="7">
        <v>84.03</v>
      </c>
      <c r="K21" s="10">
        <f>AVERAGE(I21:J21)</f>
        <v>83.525000000000006</v>
      </c>
      <c r="L21" s="7">
        <f>AVERAGE(H21,E21,K21)</f>
        <v>87.216666666666654</v>
      </c>
      <c r="M21" s="7">
        <f>_xlfn.STDEV.P(H21,E21,K21)</f>
        <v>2.7381816756542796</v>
      </c>
    </row>
    <row r="22" spans="1:13">
      <c r="A22" s="19"/>
      <c r="B22">
        <v>7</v>
      </c>
      <c r="C22" s="11">
        <v>94.93</v>
      </c>
      <c r="D22" s="7">
        <v>95.16</v>
      </c>
      <c r="E22" s="10">
        <f>AVERAGE(C22:D22)</f>
        <v>95.045000000000002</v>
      </c>
      <c r="F22" s="11">
        <v>93.66</v>
      </c>
      <c r="G22" s="7">
        <v>93.69</v>
      </c>
      <c r="H22" s="10">
        <f>AVERAGE(F22:G22)</f>
        <v>93.674999999999997</v>
      </c>
      <c r="I22" s="11">
        <v>91.94</v>
      </c>
      <c r="J22" s="7">
        <v>92.09</v>
      </c>
      <c r="K22" s="10">
        <f>AVERAGE(I22:J22)</f>
        <v>92.015000000000001</v>
      </c>
      <c r="L22" s="7">
        <f>AVERAGE(H22,E22,K22)</f>
        <v>93.578333333333333</v>
      </c>
      <c r="M22" s="7">
        <f>_xlfn.STDEV.P(H22,E22,K22)</f>
        <v>1.2388794219867496</v>
      </c>
    </row>
    <row r="23" spans="1:13">
      <c r="A23" s="19"/>
      <c r="B23">
        <v>8</v>
      </c>
      <c r="C23" s="11">
        <v>85.76</v>
      </c>
      <c r="D23" s="7">
        <v>85.42</v>
      </c>
      <c r="E23" s="10">
        <f>AVERAGE(C23:D23)</f>
        <v>85.59</v>
      </c>
      <c r="F23" s="11">
        <v>76.56</v>
      </c>
      <c r="G23" s="7">
        <v>77.790000000000006</v>
      </c>
      <c r="H23" s="10">
        <f>AVERAGE(F23:G23)</f>
        <v>77.175000000000011</v>
      </c>
      <c r="I23" s="11">
        <v>90.92</v>
      </c>
      <c r="J23" s="7">
        <v>90.84</v>
      </c>
      <c r="K23" s="10">
        <f>AVERAGE(I23:J23)</f>
        <v>90.88</v>
      </c>
      <c r="L23" s="7">
        <f>AVERAGE(H23,E23,K23)</f>
        <v>84.548333333333332</v>
      </c>
      <c r="M23" s="7">
        <f>_xlfn.STDEV.P(H23,E23,K23)</f>
        <v>5.6433180744034637</v>
      </c>
    </row>
    <row r="24" spans="1:13">
      <c r="A24" s="19"/>
      <c r="B24">
        <v>9</v>
      </c>
      <c r="C24" s="11">
        <v>73.680000000000007</v>
      </c>
      <c r="D24" s="7">
        <v>73.760000000000005</v>
      </c>
      <c r="E24" s="10">
        <f>AVERAGE(C24:D24)</f>
        <v>73.72</v>
      </c>
      <c r="F24" s="11">
        <v>92.29</v>
      </c>
      <c r="G24" s="7">
        <v>92.47</v>
      </c>
      <c r="H24" s="10">
        <f>AVERAGE(F24:G24)</f>
        <v>92.38</v>
      </c>
      <c r="I24" s="11">
        <v>90.5</v>
      </c>
      <c r="J24" s="7">
        <v>90.62</v>
      </c>
      <c r="K24" s="10">
        <f>AVERAGE(I24:J24)</f>
        <v>90.56</v>
      </c>
      <c r="L24" s="7">
        <f>AVERAGE(H24,E24,K24)</f>
        <v>85.553333333333327</v>
      </c>
      <c r="M24" s="7">
        <f>_xlfn.STDEV.P(H24,E24,K24)</f>
        <v>8.4003544898745517</v>
      </c>
    </row>
    <row r="25" spans="1:13">
      <c r="A25" s="20"/>
      <c r="B25" s="4">
        <v>10</v>
      </c>
      <c r="C25" s="15">
        <v>85.01</v>
      </c>
      <c r="D25" s="16">
        <v>84.93</v>
      </c>
      <c r="E25" s="17">
        <f>AVERAGE(C25:D25)</f>
        <v>84.97</v>
      </c>
      <c r="F25" s="11">
        <v>96.1</v>
      </c>
      <c r="G25" s="7">
        <v>96.4</v>
      </c>
      <c r="H25" s="17">
        <f>AVERAGE(F25:G25)</f>
        <v>96.25</v>
      </c>
      <c r="I25" s="11">
        <v>92.97</v>
      </c>
      <c r="J25" s="7">
        <v>94.06</v>
      </c>
      <c r="K25" s="10">
        <f>AVERAGE(I25:J25)</f>
        <v>93.515000000000001</v>
      </c>
      <c r="L25" s="7">
        <f>AVERAGE(H25,E25,K25)</f>
        <v>91.578333333333333</v>
      </c>
      <c r="M25" s="7">
        <f>_xlfn.STDEV.P(H25,E25,K25)</f>
        <v>4.8043458336061633</v>
      </c>
    </row>
  </sheetData>
  <mergeCells count="8">
    <mergeCell ref="C1:E1"/>
    <mergeCell ref="F1:H1"/>
    <mergeCell ref="I1:K1"/>
    <mergeCell ref="A3:A12"/>
    <mergeCell ref="A16:A25"/>
    <mergeCell ref="F14:H14"/>
    <mergeCell ref="C14:E14"/>
    <mergeCell ref="I14:K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7519-C13A-4F68-B23D-E14F321B56B4}">
  <dimension ref="A1:M25"/>
  <sheetViews>
    <sheetView zoomScale="45" workbookViewId="0">
      <selection activeCell="C3" sqref="C3:M25"/>
    </sheetView>
  </sheetViews>
  <sheetFormatPr defaultColWidth="8.7109375" defaultRowHeight="14.45"/>
  <cols>
    <col min="1" max="1" width="23.140625" customWidth="1"/>
  </cols>
  <sheetData>
    <row r="1" spans="1:13">
      <c r="A1" s="1"/>
      <c r="B1" s="2"/>
      <c r="C1" s="24" t="s">
        <v>0</v>
      </c>
      <c r="D1" s="25"/>
      <c r="E1" s="26"/>
      <c r="F1" s="24" t="s">
        <v>1</v>
      </c>
      <c r="G1" s="25"/>
      <c r="H1" s="26"/>
      <c r="I1" s="24" t="s">
        <v>2</v>
      </c>
      <c r="J1" s="25"/>
      <c r="K1" s="26"/>
    </row>
    <row r="2" spans="1:13">
      <c r="A2" s="3"/>
      <c r="B2" s="4" t="s">
        <v>3</v>
      </c>
      <c r="C2" s="3" t="s">
        <v>4</v>
      </c>
      <c r="D2" s="5" t="s">
        <v>5</v>
      </c>
      <c r="E2" s="5" t="s">
        <v>6</v>
      </c>
      <c r="F2" s="3" t="s">
        <v>4</v>
      </c>
      <c r="G2" s="5" t="s">
        <v>5</v>
      </c>
      <c r="H2" s="5" t="s">
        <v>6</v>
      </c>
      <c r="I2" s="3" t="s">
        <v>4</v>
      </c>
      <c r="J2" s="5" t="s">
        <v>5</v>
      </c>
      <c r="K2" s="5" t="s">
        <v>6</v>
      </c>
      <c r="L2" t="s">
        <v>6</v>
      </c>
      <c r="M2" t="s">
        <v>7</v>
      </c>
    </row>
    <row r="3" spans="1:13" ht="14.45" customHeight="1">
      <c r="A3" s="18" t="s">
        <v>9</v>
      </c>
      <c r="B3" s="2">
        <v>1</v>
      </c>
      <c r="C3" s="8">
        <v>65.66</v>
      </c>
      <c r="D3" s="9">
        <v>64.05</v>
      </c>
      <c r="E3" s="10">
        <f>AVERAGE(C3:D3)</f>
        <v>64.85499999999999</v>
      </c>
      <c r="F3" s="8">
        <v>53.19</v>
      </c>
      <c r="G3" s="9">
        <v>55.88</v>
      </c>
      <c r="H3" s="10">
        <f>AVERAGE(F3:G3)</f>
        <v>54.534999999999997</v>
      </c>
      <c r="I3" s="11">
        <v>59.82</v>
      </c>
      <c r="J3" s="7">
        <v>65.36</v>
      </c>
      <c r="K3" s="12">
        <f>AVERAGE(I3:J3)</f>
        <v>62.59</v>
      </c>
      <c r="L3" s="7">
        <f>AVERAGE(E3,H3,K3)</f>
        <v>60.66</v>
      </c>
      <c r="M3" s="7">
        <f>_xlfn.STDEV.P(E3,H3,K3)</f>
        <v>4.4286397460168274</v>
      </c>
    </row>
    <row r="4" spans="1:13">
      <c r="A4" s="19"/>
      <c r="B4">
        <v>2</v>
      </c>
      <c r="C4" s="11">
        <v>73.13</v>
      </c>
      <c r="D4" s="7">
        <v>73.66</v>
      </c>
      <c r="E4" s="10">
        <f>AVERAGE(C4:D4)</f>
        <v>73.394999999999996</v>
      </c>
      <c r="F4" s="11">
        <v>72.59</v>
      </c>
      <c r="G4" s="7">
        <v>67.36</v>
      </c>
      <c r="H4" s="10">
        <f>AVERAGE(F4:G4)</f>
        <v>69.974999999999994</v>
      </c>
      <c r="I4" s="11">
        <v>85.95</v>
      </c>
      <c r="J4" s="7">
        <v>82.15</v>
      </c>
      <c r="K4" s="10">
        <f>AVERAGE(I4:J4)</f>
        <v>84.050000000000011</v>
      </c>
      <c r="L4" s="7">
        <f>AVERAGE(E4,H4,K4)</f>
        <v>75.806666666666672</v>
      </c>
      <c r="M4" s="7">
        <f>_xlfn.STDEV.P(E4,H4,K4)</f>
        <v>5.9938028180965635</v>
      </c>
    </row>
    <row r="5" spans="1:13">
      <c r="A5" s="19"/>
      <c r="B5">
        <v>3</v>
      </c>
      <c r="C5" s="13">
        <v>87.08</v>
      </c>
      <c r="D5" s="14">
        <v>87.97</v>
      </c>
      <c r="E5" s="10">
        <f>AVERAGE(C5:D5)</f>
        <v>87.525000000000006</v>
      </c>
      <c r="F5" s="13">
        <v>80.69</v>
      </c>
      <c r="G5" s="14">
        <v>81.83</v>
      </c>
      <c r="H5" s="10">
        <f>AVERAGE(F5:G5)</f>
        <v>81.259999999999991</v>
      </c>
      <c r="I5" s="13">
        <v>80.95</v>
      </c>
      <c r="J5" s="14">
        <v>81.069999999999993</v>
      </c>
      <c r="K5" s="10">
        <f>AVERAGE(I5:J5)</f>
        <v>81.009999999999991</v>
      </c>
      <c r="L5" s="7">
        <f>AVERAGE(E5,H5,K5)</f>
        <v>83.265000000000001</v>
      </c>
      <c r="M5" s="7">
        <f>_xlfn.STDEV.P(E5,H5,K5)</f>
        <v>3.0140034284430914</v>
      </c>
    </row>
    <row r="6" spans="1:13">
      <c r="A6" s="19"/>
      <c r="B6">
        <v>4</v>
      </c>
      <c r="C6" s="13">
        <v>77.650000000000006</v>
      </c>
      <c r="D6" s="14">
        <v>69.16</v>
      </c>
      <c r="E6" s="10">
        <f>AVERAGE(C6:D6)</f>
        <v>73.405000000000001</v>
      </c>
      <c r="F6" s="13">
        <v>72.290000000000006</v>
      </c>
      <c r="G6" s="14">
        <v>75</v>
      </c>
      <c r="H6" s="10">
        <f>AVERAGE(F6:G6)</f>
        <v>73.64500000000001</v>
      </c>
      <c r="I6" s="13">
        <v>74.790000000000006</v>
      </c>
      <c r="J6" s="14">
        <v>79.459999999999994</v>
      </c>
      <c r="K6" s="10">
        <f>AVERAGE(I6:J6)</f>
        <v>77.125</v>
      </c>
      <c r="L6" s="7">
        <f>AVERAGE(E6,H6,K6)</f>
        <v>74.725000000000009</v>
      </c>
      <c r="M6" s="7">
        <f>_xlfn.STDEV.P(E6,H6,K6)</f>
        <v>1.6998823488700596</v>
      </c>
    </row>
    <row r="7" spans="1:13">
      <c r="A7" s="19"/>
      <c r="B7">
        <v>5</v>
      </c>
      <c r="C7" s="11">
        <v>93.54</v>
      </c>
      <c r="D7" s="7">
        <v>83.01</v>
      </c>
      <c r="E7" s="10">
        <f>AVERAGE(C7:D7)</f>
        <v>88.275000000000006</v>
      </c>
      <c r="F7" s="11">
        <v>75.02</v>
      </c>
      <c r="G7" s="7">
        <v>77.17</v>
      </c>
      <c r="H7" s="10">
        <f>AVERAGE(F7:G7)</f>
        <v>76.094999999999999</v>
      </c>
      <c r="I7" s="11">
        <v>79.430000000000007</v>
      </c>
      <c r="J7" s="7">
        <v>74.62</v>
      </c>
      <c r="K7" s="10">
        <f>AVERAGE(I7:J7)</f>
        <v>77.025000000000006</v>
      </c>
      <c r="L7" s="7">
        <f>AVERAGE(E7,H7,K7)</f>
        <v>80.465000000000003</v>
      </c>
      <c r="M7" s="7">
        <f>_xlfn.STDEV.P(E7,H7,K7)</f>
        <v>5.5355397207499122</v>
      </c>
    </row>
    <row r="8" spans="1:13">
      <c r="A8" s="19"/>
      <c r="B8">
        <v>6</v>
      </c>
      <c r="C8" s="11">
        <v>75.290000000000006</v>
      </c>
      <c r="D8" s="7">
        <v>78.45</v>
      </c>
      <c r="E8" s="10">
        <f>AVERAGE(C8:D8)</f>
        <v>76.87</v>
      </c>
      <c r="F8" s="11">
        <v>72.19</v>
      </c>
      <c r="G8" s="7">
        <v>71.48</v>
      </c>
      <c r="H8" s="10">
        <f>AVERAGE(F8:G8)</f>
        <v>71.835000000000008</v>
      </c>
      <c r="I8" s="11">
        <v>76.41</v>
      </c>
      <c r="J8" s="7">
        <v>69.89</v>
      </c>
      <c r="K8" s="10">
        <f>AVERAGE(I8:J8)</f>
        <v>73.150000000000006</v>
      </c>
      <c r="L8" s="7">
        <f>AVERAGE(E8,H8,K8)</f>
        <v>73.951666666666668</v>
      </c>
      <c r="M8" s="7">
        <f>_xlfn.STDEV.P(E8,H8,K8)</f>
        <v>2.1322614494683534</v>
      </c>
    </row>
    <row r="9" spans="1:13">
      <c r="A9" s="19"/>
      <c r="B9">
        <v>7</v>
      </c>
      <c r="C9" s="11">
        <v>79.63</v>
      </c>
      <c r="D9" s="7">
        <v>78.900000000000006</v>
      </c>
      <c r="E9" s="10">
        <f>AVERAGE(C9:D9)</f>
        <v>79.265000000000001</v>
      </c>
      <c r="F9" s="11">
        <v>79.63</v>
      </c>
      <c r="G9" s="7">
        <v>78.900000000000006</v>
      </c>
      <c r="H9" s="10">
        <f>AVERAGE(F9:G9)</f>
        <v>79.265000000000001</v>
      </c>
      <c r="I9" s="11">
        <v>94.82</v>
      </c>
      <c r="J9" s="7">
        <v>88.36</v>
      </c>
      <c r="K9" s="10">
        <f>AVERAGE(I9:J9)</f>
        <v>91.59</v>
      </c>
      <c r="L9" s="7">
        <f>AVERAGE(E9,H9,K9)</f>
        <v>83.373333333333335</v>
      </c>
      <c r="M9" s="7">
        <f>_xlfn.STDEV.P(E9,H9,K9)</f>
        <v>5.8100607187494671</v>
      </c>
    </row>
    <row r="10" spans="1:13">
      <c r="A10" s="19"/>
      <c r="B10">
        <v>8</v>
      </c>
      <c r="C10" s="11">
        <v>74.58</v>
      </c>
      <c r="D10" s="7">
        <v>72.400000000000006</v>
      </c>
      <c r="E10" s="10">
        <f>AVERAGE(C10:D10)</f>
        <v>73.490000000000009</v>
      </c>
      <c r="F10" s="11">
        <v>70.459999999999994</v>
      </c>
      <c r="G10" s="7">
        <v>73.78</v>
      </c>
      <c r="H10" s="10">
        <f>AVERAGE(F10:G10)</f>
        <v>72.12</v>
      </c>
      <c r="I10" s="11">
        <v>85.86</v>
      </c>
      <c r="J10" s="7">
        <v>81.569999999999993</v>
      </c>
      <c r="K10" s="10">
        <f>AVERAGE(I10:J10)</f>
        <v>83.715000000000003</v>
      </c>
      <c r="L10" s="7">
        <f>AVERAGE(E10,H10,K10)</f>
        <v>76.441666666666677</v>
      </c>
      <c r="M10" s="7">
        <f>_xlfn.STDEV.P(E10,H10,K10)</f>
        <v>5.1733456829749489</v>
      </c>
    </row>
    <row r="11" spans="1:13">
      <c r="A11" s="19"/>
      <c r="B11">
        <v>9</v>
      </c>
      <c r="C11" s="11">
        <v>85.79</v>
      </c>
      <c r="D11" s="7">
        <v>78.33</v>
      </c>
      <c r="E11" s="10">
        <f>AVERAGE(C11:D11)</f>
        <v>82.06</v>
      </c>
      <c r="F11" s="11">
        <v>74.94</v>
      </c>
      <c r="G11" s="7">
        <v>78.83</v>
      </c>
      <c r="H11" s="10">
        <f>AVERAGE(F11:G11)</f>
        <v>76.884999999999991</v>
      </c>
      <c r="I11" s="11">
        <v>73.010000000000005</v>
      </c>
      <c r="J11" s="7">
        <v>74.73</v>
      </c>
      <c r="K11" s="10">
        <f>AVERAGE(I11:J11)</f>
        <v>73.87</v>
      </c>
      <c r="L11" s="7">
        <f>AVERAGE(E11,H11,K11)</f>
        <v>77.605000000000004</v>
      </c>
      <c r="M11" s="7">
        <f>_xlfn.STDEV.P(E11,H11,K11)</f>
        <v>3.3820925475214305</v>
      </c>
    </row>
    <row r="12" spans="1:13">
      <c r="A12" s="20"/>
      <c r="B12" s="4">
        <v>10</v>
      </c>
      <c r="C12" s="15">
        <v>78.209999999999994</v>
      </c>
      <c r="D12" s="16">
        <v>74.94</v>
      </c>
      <c r="E12" s="17">
        <f>AVERAGE(C12:D12)</f>
        <v>76.574999999999989</v>
      </c>
      <c r="F12" s="15">
        <v>72.260000000000005</v>
      </c>
      <c r="G12" s="16">
        <v>75.03</v>
      </c>
      <c r="H12" s="17">
        <f>AVERAGE(F12:G12)</f>
        <v>73.64500000000001</v>
      </c>
      <c r="I12" s="15">
        <v>88.78</v>
      </c>
      <c r="J12" s="16">
        <v>83.55</v>
      </c>
      <c r="K12" s="17">
        <f>AVERAGE(I12:J12)</f>
        <v>86.164999999999992</v>
      </c>
      <c r="L12" s="7">
        <f>AVERAGE(E12,H12,K12)</f>
        <v>78.795000000000002</v>
      </c>
      <c r="M12" s="7">
        <f>_xlfn.STDEV.P(E12,H12,K12)</f>
        <v>5.3468931789092817</v>
      </c>
    </row>
    <row r="13" spans="1:13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>
      <c r="A14" s="1"/>
      <c r="B14" s="2"/>
      <c r="C14" s="21" t="s">
        <v>0</v>
      </c>
      <c r="D14" s="22"/>
      <c r="E14" s="23"/>
      <c r="F14" s="21" t="s">
        <v>1</v>
      </c>
      <c r="G14" s="22"/>
      <c r="H14" s="23"/>
      <c r="I14" s="21" t="s">
        <v>2</v>
      </c>
      <c r="J14" s="22"/>
      <c r="K14" s="23"/>
      <c r="L14" s="7"/>
      <c r="M14" s="7"/>
    </row>
    <row r="15" spans="1:13">
      <c r="A15" s="3"/>
      <c r="B15" s="4" t="s">
        <v>3</v>
      </c>
      <c r="C15" s="15" t="s">
        <v>4</v>
      </c>
      <c r="D15" s="17" t="s">
        <v>5</v>
      </c>
      <c r="E15" s="17" t="s">
        <v>6</v>
      </c>
      <c r="F15" s="15" t="s">
        <v>4</v>
      </c>
      <c r="G15" s="17" t="s">
        <v>5</v>
      </c>
      <c r="H15" s="17" t="s">
        <v>6</v>
      </c>
      <c r="I15" s="15" t="s">
        <v>4</v>
      </c>
      <c r="J15" s="17" t="s">
        <v>5</v>
      </c>
      <c r="K15" s="17" t="s">
        <v>6</v>
      </c>
      <c r="L15" s="7" t="s">
        <v>6</v>
      </c>
      <c r="M15" s="7" t="s">
        <v>7</v>
      </c>
    </row>
    <row r="16" spans="1:13" ht="14.45" customHeight="1">
      <c r="A16" s="18" t="s">
        <v>8</v>
      </c>
      <c r="B16" s="2">
        <v>1</v>
      </c>
      <c r="C16" s="8">
        <v>49.45</v>
      </c>
      <c r="D16" s="9">
        <v>35.549999999999997</v>
      </c>
      <c r="E16" s="12">
        <f>AVERAGE(C16:D16)</f>
        <v>42.5</v>
      </c>
      <c r="F16" s="8">
        <v>70.069999999999993</v>
      </c>
      <c r="G16" s="9">
        <v>66.09</v>
      </c>
      <c r="H16" s="12">
        <f>AVERAGE(F16:G16)</f>
        <v>68.08</v>
      </c>
      <c r="I16" s="8">
        <v>64.900000000000006</v>
      </c>
      <c r="J16" s="9">
        <v>63.8</v>
      </c>
      <c r="K16" s="12">
        <f>AVERAGE(I16:J16)</f>
        <v>64.349999999999994</v>
      </c>
      <c r="L16" s="7">
        <f>AVERAGE(H16,E16,K16)</f>
        <v>58.31</v>
      </c>
      <c r="M16" s="7">
        <f>_xlfn.STDEV.P(H16,E16,K16)</f>
        <v>11.28259130991929</v>
      </c>
    </row>
    <row r="17" spans="1:13">
      <c r="A17" s="19"/>
      <c r="B17">
        <v>2</v>
      </c>
      <c r="C17" s="11">
        <v>76.8</v>
      </c>
      <c r="D17" s="7">
        <v>76.11</v>
      </c>
      <c r="E17" s="10">
        <f>AVERAGE(C17:D17)</f>
        <v>76.454999999999998</v>
      </c>
      <c r="F17" s="11">
        <v>70.2</v>
      </c>
      <c r="G17" s="7">
        <v>70.78</v>
      </c>
      <c r="H17" s="10">
        <f>AVERAGE(F17:G17)</f>
        <v>70.490000000000009</v>
      </c>
      <c r="I17" s="11">
        <v>82.37</v>
      </c>
      <c r="J17" s="7">
        <v>83.53</v>
      </c>
      <c r="K17" s="10">
        <f>AVERAGE(I17:J17)</f>
        <v>82.95</v>
      </c>
      <c r="L17" s="7">
        <f>AVERAGE(H17,E17,K17)</f>
        <v>76.631666666666661</v>
      </c>
      <c r="M17" s="7">
        <f>_xlfn.STDEV.P(H17,E17,K17)</f>
        <v>5.0883074024887875</v>
      </c>
    </row>
    <row r="18" spans="1:13">
      <c r="A18" s="19"/>
      <c r="B18">
        <v>3</v>
      </c>
      <c r="C18" s="13">
        <v>55.67</v>
      </c>
      <c r="D18" s="14">
        <v>52.91</v>
      </c>
      <c r="E18" s="10">
        <f>AVERAGE(C18:D18)</f>
        <v>54.29</v>
      </c>
      <c r="F18" s="13">
        <v>81.95</v>
      </c>
      <c r="G18" s="14">
        <v>77.72</v>
      </c>
      <c r="H18" s="10">
        <f>AVERAGE(F18:G18)</f>
        <v>79.835000000000008</v>
      </c>
      <c r="I18" s="13">
        <v>76.88</v>
      </c>
      <c r="J18" s="14">
        <v>75.59</v>
      </c>
      <c r="K18" s="10">
        <f>AVERAGE(I18:J18)</f>
        <v>76.234999999999999</v>
      </c>
      <c r="L18" s="7">
        <f>AVERAGE(H18,E18,K18)</f>
        <v>70.12</v>
      </c>
      <c r="M18" s="7">
        <f>_xlfn.STDEV.P(H18,E18,K18)</f>
        <v>11.289572622557502</v>
      </c>
    </row>
    <row r="19" spans="1:13">
      <c r="A19" s="19"/>
      <c r="B19">
        <v>4</v>
      </c>
      <c r="C19" s="13">
        <v>71.180000000000007</v>
      </c>
      <c r="D19" s="14">
        <v>61.13</v>
      </c>
      <c r="E19" s="10">
        <f>AVERAGE(C19:D19)</f>
        <v>66.155000000000001</v>
      </c>
      <c r="F19" s="13">
        <v>71.03</v>
      </c>
      <c r="G19" s="14">
        <v>76.62</v>
      </c>
      <c r="H19" s="10">
        <f>AVERAGE(F19:G19)</f>
        <v>73.825000000000003</v>
      </c>
      <c r="I19" s="13">
        <v>70.89</v>
      </c>
      <c r="J19" s="14">
        <v>60.69</v>
      </c>
      <c r="K19" s="10">
        <f>AVERAGE(I19:J19)</f>
        <v>65.789999999999992</v>
      </c>
      <c r="L19" s="7">
        <f>AVERAGE(H19,E19,K19)</f>
        <v>68.59</v>
      </c>
      <c r="M19" s="7">
        <f>_xlfn.STDEV.P(H19,E19,K19)</f>
        <v>3.7047019673202715</v>
      </c>
    </row>
    <row r="20" spans="1:13">
      <c r="A20" s="19"/>
      <c r="B20">
        <v>5</v>
      </c>
      <c r="C20" s="11">
        <v>64.959999999999994</v>
      </c>
      <c r="D20" s="7">
        <v>63.89</v>
      </c>
      <c r="E20" s="10">
        <f>AVERAGE(C20:D20)</f>
        <v>64.424999999999997</v>
      </c>
      <c r="F20" s="11">
        <v>81.72</v>
      </c>
      <c r="G20" s="7">
        <v>80.37</v>
      </c>
      <c r="H20" s="10">
        <f>AVERAGE(F20:G20)</f>
        <v>81.045000000000002</v>
      </c>
      <c r="I20" s="11">
        <v>82.89</v>
      </c>
      <c r="J20" s="7">
        <v>78.38</v>
      </c>
      <c r="K20" s="10">
        <f>AVERAGE(I20:J20)</f>
        <v>80.634999999999991</v>
      </c>
      <c r="L20" s="7">
        <f>AVERAGE(H20,E20,K20)</f>
        <v>75.368333333333325</v>
      </c>
      <c r="M20" s="7">
        <f>_xlfn.STDEV.P(H20,E20,K20)</f>
        <v>7.7399153024363461</v>
      </c>
    </row>
    <row r="21" spans="1:13">
      <c r="A21" s="19"/>
      <c r="B21">
        <v>6</v>
      </c>
      <c r="C21" s="11">
        <v>79.34</v>
      </c>
      <c r="D21" s="7">
        <v>75.44</v>
      </c>
      <c r="E21" s="10">
        <f>AVERAGE(C21:D21)</f>
        <v>77.39</v>
      </c>
      <c r="F21" s="11">
        <v>81.319999999999993</v>
      </c>
      <c r="G21" s="7">
        <v>80.599999999999994</v>
      </c>
      <c r="H21" s="10">
        <f>AVERAGE(F21:G21)</f>
        <v>80.959999999999994</v>
      </c>
      <c r="I21" s="11">
        <v>74.3</v>
      </c>
      <c r="J21" s="7">
        <v>76.39</v>
      </c>
      <c r="K21" s="10">
        <f>AVERAGE(I21:J21)</f>
        <v>75.344999999999999</v>
      </c>
      <c r="L21" s="7">
        <f>AVERAGE(H21,E21,K21)</f>
        <v>77.898333333333326</v>
      </c>
      <c r="M21" s="7">
        <f>_xlfn.STDEV.P(H21,E21,K21)</f>
        <v>2.3203244504929788</v>
      </c>
    </row>
    <row r="22" spans="1:13">
      <c r="A22" s="19"/>
      <c r="B22">
        <v>7</v>
      </c>
      <c r="C22" s="11">
        <v>82.13</v>
      </c>
      <c r="D22" s="7">
        <v>83.23</v>
      </c>
      <c r="E22" s="10">
        <f>AVERAGE(C22:D22)</f>
        <v>82.68</v>
      </c>
      <c r="F22" s="11">
        <v>81.5</v>
      </c>
      <c r="G22" s="7">
        <v>81.16</v>
      </c>
      <c r="H22" s="10">
        <f>AVERAGE(F22:G22)</f>
        <v>81.33</v>
      </c>
      <c r="I22" s="11">
        <v>88.06</v>
      </c>
      <c r="J22" s="7">
        <v>79.81</v>
      </c>
      <c r="K22" s="10">
        <f>AVERAGE(I22:J22)</f>
        <v>83.935000000000002</v>
      </c>
      <c r="L22" s="7">
        <f>AVERAGE(H22,E22,K22)</f>
        <v>82.648333333333326</v>
      </c>
      <c r="M22" s="7">
        <f>_xlfn.STDEV.P(H22,E22,K22)</f>
        <v>1.0637224993181065</v>
      </c>
    </row>
    <row r="23" spans="1:13">
      <c r="A23" s="19"/>
      <c r="B23">
        <v>8</v>
      </c>
      <c r="C23" s="11">
        <v>78.349999999999994</v>
      </c>
      <c r="D23" s="7">
        <v>76.819999999999993</v>
      </c>
      <c r="E23" s="10">
        <f>AVERAGE(C23:D23)</f>
        <v>77.584999999999994</v>
      </c>
      <c r="F23" s="11">
        <v>67.92</v>
      </c>
      <c r="G23" s="7">
        <v>47.88</v>
      </c>
      <c r="H23" s="10">
        <f>AVERAGE(F23:G23)</f>
        <v>57.900000000000006</v>
      </c>
      <c r="I23" s="11">
        <v>82.35</v>
      </c>
      <c r="J23" s="7">
        <v>80.08</v>
      </c>
      <c r="K23" s="10">
        <f>AVERAGE(I23:J23)</f>
        <v>81.215000000000003</v>
      </c>
      <c r="L23" s="7">
        <f>AVERAGE(H23,E23,K23)</f>
        <v>72.233333333333334</v>
      </c>
      <c r="M23" s="7">
        <f>_xlfn.STDEV.P(H23,E23,K23)</f>
        <v>10.242966963835311</v>
      </c>
    </row>
    <row r="24" spans="1:13">
      <c r="A24" s="19"/>
      <c r="B24">
        <v>9</v>
      </c>
      <c r="C24" s="11">
        <v>67.209999999999994</v>
      </c>
      <c r="D24" s="7">
        <v>69.33</v>
      </c>
      <c r="E24" s="10">
        <f>AVERAGE(C24:D24)</f>
        <v>68.27</v>
      </c>
      <c r="F24" s="11">
        <v>82.11</v>
      </c>
      <c r="G24" s="7">
        <v>85.95</v>
      </c>
      <c r="H24" s="10">
        <f>AVERAGE(F24:G24)</f>
        <v>84.03</v>
      </c>
      <c r="I24" s="11">
        <v>82.43</v>
      </c>
      <c r="J24" s="7">
        <v>80.040000000000006</v>
      </c>
      <c r="K24" s="10">
        <f>AVERAGE(I24:J24)</f>
        <v>81.235000000000014</v>
      </c>
      <c r="L24" s="7">
        <f>AVERAGE(H24,E24,K24)</f>
        <v>77.845000000000013</v>
      </c>
      <c r="M24" s="7">
        <f>_xlfn.STDEV.P(H24,E24,K24)</f>
        <v>6.8660262646356607</v>
      </c>
    </row>
    <row r="25" spans="1:13">
      <c r="A25" s="20"/>
      <c r="B25" s="4">
        <v>10</v>
      </c>
      <c r="C25" s="15">
        <v>71.8</v>
      </c>
      <c r="D25" s="16">
        <v>73.61</v>
      </c>
      <c r="E25" s="17">
        <f>AVERAGE(C25:D25)</f>
        <v>72.704999999999998</v>
      </c>
      <c r="F25" s="15">
        <v>83.78</v>
      </c>
      <c r="G25" s="16">
        <v>85.35</v>
      </c>
      <c r="H25" s="17">
        <f>AVERAGE(F25:G25)</f>
        <v>84.564999999999998</v>
      </c>
      <c r="I25" s="15">
        <v>77.760000000000005</v>
      </c>
      <c r="J25" s="16">
        <v>77.17</v>
      </c>
      <c r="K25" s="17">
        <f>AVERAGE(I25:J25)</f>
        <v>77.465000000000003</v>
      </c>
      <c r="L25" s="7">
        <f>AVERAGE(H25,E25,K25)</f>
        <v>78.24499999999999</v>
      </c>
      <c r="M25" s="7">
        <f>_xlfn.STDEV.P(H25,E25,K25)</f>
        <v>4.8731372509571962</v>
      </c>
    </row>
  </sheetData>
  <mergeCells count="8">
    <mergeCell ref="A16:A25"/>
    <mergeCell ref="C1:E1"/>
    <mergeCell ref="F1:H1"/>
    <mergeCell ref="I1:K1"/>
    <mergeCell ref="A3:A12"/>
    <mergeCell ref="F14:H14"/>
    <mergeCell ref="C14:E14"/>
    <mergeCell ref="I14:K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e37bc8-0899-4b68-a496-441343aa816b">
      <Terms xmlns="http://schemas.microsoft.com/office/infopath/2007/PartnerControls"/>
    </lcf76f155ced4ddcb4097134ff3c332f>
    <TaxCatchAll xmlns="6b6a1bba-9f39-4ed1-996f-2c5534681b1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246465EA891A48AF0AB58E88191E5A" ma:contentTypeVersion="19" ma:contentTypeDescription="Create a new document." ma:contentTypeScope="" ma:versionID="e02e80961f5bf6041dbfe31934bc6610">
  <xsd:schema xmlns:xsd="http://www.w3.org/2001/XMLSchema" xmlns:xs="http://www.w3.org/2001/XMLSchema" xmlns:p="http://schemas.microsoft.com/office/2006/metadata/properties" xmlns:ns2="72e37bc8-0899-4b68-a496-441343aa816b" xmlns:ns3="5f87e09b-70bf-46ce-8622-e687623af60e" xmlns:ns4="6b6a1bba-9f39-4ed1-996f-2c5534681b1a" targetNamespace="http://schemas.microsoft.com/office/2006/metadata/properties" ma:root="true" ma:fieldsID="ad706a4ff9ac15389b3abc83eccbf5cf" ns2:_="" ns3:_="" ns4:_="">
    <xsd:import namespace="72e37bc8-0899-4b68-a496-441343aa816b"/>
    <xsd:import namespace="5f87e09b-70bf-46ce-8622-e687623af60e"/>
    <xsd:import namespace="6b6a1bba-9f39-4ed1-996f-2c5534681b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37bc8-0899-4b68-a496-441343aa81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7e09b-70bf-46ce-8622-e687623af60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a1bba-9f39-4ed1-996f-2c5534681b1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ff16d80a-77ba-4677-978a-b6f1effea8a1}" ma:internalName="TaxCatchAll" ma:showField="CatchAllData" ma:web="6b6a1bba-9f39-4ed1-996f-2c5534681b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BE19B3-06A9-4DDC-A438-EC82D5AFE108}"/>
</file>

<file path=customXml/itemProps2.xml><?xml version="1.0" encoding="utf-8"?>
<ds:datastoreItem xmlns:ds="http://schemas.openxmlformats.org/officeDocument/2006/customXml" ds:itemID="{2D20B707-49F5-4BA8-A67F-1BEDEE354824}"/>
</file>

<file path=customXml/itemProps3.xml><?xml version="1.0" encoding="utf-8"?>
<ds:datastoreItem xmlns:ds="http://schemas.openxmlformats.org/officeDocument/2006/customXml" ds:itemID="{0E37F620-F61E-4D3B-A228-CF0F09B81B17}"/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Erin Ng</dc:creator>
  <cp:keywords/>
  <dc:description/>
  <cp:lastModifiedBy>Erin Ng</cp:lastModifiedBy>
  <cp:revision/>
  <dcterms:created xsi:type="dcterms:W3CDTF">2026-08-24T02:22:01Z</dcterms:created>
  <dcterms:modified xsi:type="dcterms:W3CDTF">2026-08-25T04:12:55Z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0x0101005A246465EA891A48AF0AB58E88191E5A</vt:lpwstr>
  </property>
  <property fmtid="{D5CDD505-2E9C-101B-9397-08002B2CF9AE}" pid="3" name="MediaServiceImageTags">
    <vt:lpwstr/>
  </property>
</Properties>
</file>